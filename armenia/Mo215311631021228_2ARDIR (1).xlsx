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35" windowHeight="9300" firstSheet="1" activeTab="7"/>
  </bookViews>
  <sheets>
    <sheet name="Sheet1" sheetId="1" r:id="rId1"/>
    <sheet name="Աշոցք" sheetId="3" r:id="rId2"/>
    <sheet name="Զույգաղբյուր" sheetId="4" r:id="rId3"/>
    <sheet name="Փ. Սեպասար" sheetId="5" r:id="rId4"/>
    <sheet name="Կրասար" sheetId="6" r:id="rId5"/>
    <sheet name="Ղազանչի" sheetId="7" r:id="rId6"/>
    <sheet name="Մ. Սեպասար" sheetId="8" r:id="rId7"/>
    <sheet name="Սիզավետ" sheetId="9" r:id="rId8"/>
    <sheet name="Лист2" sheetId="10" r:id="rId9"/>
  </sheets>
  <externalReferences>
    <externalReference r:id="rId10"/>
  </externalReferences>
  <definedNames>
    <definedName name="_xlnm._FilterDatabase" localSheetId="1" hidden="1">Աշոցք!$A$7:$GN$75</definedName>
  </definedNames>
  <calcPr calcId="144525"/>
</workbook>
</file>

<file path=xl/calcChain.xml><?xml version="1.0" encoding="utf-8"?>
<calcChain xmlns="http://schemas.openxmlformats.org/spreadsheetml/2006/main">
  <c r="B8" i="5" l="1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</calcChain>
</file>

<file path=xl/sharedStrings.xml><?xml version="1.0" encoding="utf-8"?>
<sst xmlns="http://schemas.openxmlformats.org/spreadsheetml/2006/main" count="1018" uniqueCount="354">
  <si>
    <t>Հ/Հ</t>
  </si>
  <si>
    <t>ՏԵՂԵԿԱՏՎՈՒԹՅՈՒՆ</t>
  </si>
  <si>
    <t>Գյուղական համայնքի անվանումը</t>
  </si>
  <si>
    <t>Տարիքը</t>
  </si>
  <si>
    <t>Ընտանիքի անչափահաս երեխաների թիվը</t>
  </si>
  <si>
    <t>Ընտանիքի հաշմանդամություն ունեցող անձանց թիվը</t>
  </si>
  <si>
    <t>Անձնագրի սերիան, համարը կամ նույնականացման քարտի համարը</t>
  </si>
  <si>
    <t>Փաստացի բնակության վայրը</t>
  </si>
  <si>
    <t>Գյուղ. նշանակության հողի չափը /հա/</t>
  </si>
  <si>
    <t>Ընտանիքի  գործունակ անդամների թիվը</t>
  </si>
  <si>
    <t>16-30 տարեկան</t>
  </si>
  <si>
    <t>31-63 տարեկան</t>
  </si>
  <si>
    <t>Ընտանիքը հաշվառված է ընտանիքների անապահովության գնահատման համակարգում և անապահովության միավորը բարձր է 0-ից</t>
  </si>
  <si>
    <t>Ծրագրում ընդգրկվելու առաջնահերթությունները*</t>
  </si>
  <si>
    <t>ՀՀ պաշտպանության ժամանակ կամ ծառայողական պարտականությունները կատարելիս զոհված զինծառայողի ընտանիքի անդամ է</t>
  </si>
  <si>
    <t>Հող օգտագոր-ծողի անունը, ազգանունը, հայրանունը</t>
  </si>
  <si>
    <t>Հող օգտագործողի կողմից մշակվող մշակաբույսը (եր)</t>
  </si>
  <si>
    <t>Հեռախոսահամարը</t>
  </si>
  <si>
    <t>Բնակչության սոցիալական պաշտպանության հաստատության (մանկատան) շրջանավարտ է</t>
  </si>
  <si>
    <t>* - 11-17 սյունակները լրացվում են նշված տեղեկատվության առկայության դեպքում</t>
  </si>
  <si>
    <t>Սոցիալական դեպքի վարման շրջանականերում սոցիալական աջակցության տարածքային գործակալության (բաժնի) կողմից ներկայացված անձ է</t>
  </si>
  <si>
    <t>Հողօգտագործողների վերաբերյալ</t>
  </si>
  <si>
    <t>գ.Մեծ Սեպասար</t>
  </si>
  <si>
    <t xml:space="preserve"> Գայանե Մխիթարյան Գալիկի</t>
  </si>
  <si>
    <t xml:space="preserve">  Մանուշակ Պետանյան Կոյլայի</t>
  </si>
  <si>
    <t xml:space="preserve"> Աղասի Թովմասյան Սերյոժայի</t>
  </si>
  <si>
    <t xml:space="preserve"> Հովսեփ Կոստանյան Ժոժիկի</t>
  </si>
  <si>
    <t xml:space="preserve"> Սերժիկ Մխիթարյան Մխիթարի</t>
  </si>
  <si>
    <t xml:space="preserve"> Արմեն Մելիքյան Հրաչի</t>
  </si>
  <si>
    <t xml:space="preserve"> Արտակ Մելիքյան Վոլոդիաի</t>
  </si>
  <si>
    <t xml:space="preserve"> Ավետիկ Մկրտչյան Հովաննեսի</t>
  </si>
  <si>
    <t xml:space="preserve"> Սեդրակ Ներսիսյան Դոնոսի</t>
  </si>
  <si>
    <t xml:space="preserve"> Դավիթ Ներսիսյան Դոնոսի</t>
  </si>
  <si>
    <t xml:space="preserve"> Ռուզաննա Վարդանյան Կարապետի</t>
  </si>
  <si>
    <t xml:space="preserve"> Աշոտ Պետանյան Ռոբերդի</t>
  </si>
  <si>
    <t xml:space="preserve"> Միքայել Պետանյան  Հակոբի</t>
  </si>
  <si>
    <t xml:space="preserve"> Հովաննես Պետրոսյան Լևոնի</t>
  </si>
  <si>
    <t xml:space="preserve"> Ստեփան Պետրոսյան Լևոնի</t>
  </si>
  <si>
    <t xml:space="preserve"> Մեխակ Պետրոսյան Կարապետի</t>
  </si>
  <si>
    <t xml:space="preserve"> Արմեն Պողոսյան Վազգենի</t>
  </si>
  <si>
    <t xml:space="preserve"> Սերգեյ Սողոյան Ռուբենի</t>
  </si>
  <si>
    <t xml:space="preserve"> Նելսոն Ավագյան Կառլենի</t>
  </si>
  <si>
    <t xml:space="preserve"> Ջեմմա Մարտիրոսյան Բեգլարի</t>
  </si>
  <si>
    <t xml:space="preserve"> Գարեգին Քոչայրան Սամվելի</t>
  </si>
  <si>
    <t xml:space="preserve"> Վալերիկ Միքայելյան Լյովա </t>
  </si>
  <si>
    <t xml:space="preserve"> Թորգոմ Պետրոսյան Լևոնի</t>
  </si>
  <si>
    <t xml:space="preserve"> Ալիսա Աղասյան Ռազմիկի</t>
  </si>
  <si>
    <t xml:space="preserve"> Պողոսյան  Մարետա Զավենի</t>
  </si>
  <si>
    <t xml:space="preserve"> Մանուկ Մանուկյան Ռևանի</t>
  </si>
  <si>
    <t>Անդրանիկ Մելիքյան Զիոսոի</t>
  </si>
  <si>
    <t>Ներսիսյան Ներսիկ Թովմասի</t>
  </si>
  <si>
    <t>Մարտիրոսյան Տիգրան Վելիխանի</t>
  </si>
  <si>
    <t>002665164</t>
  </si>
  <si>
    <t>AM0919568</t>
  </si>
  <si>
    <t>AH0597072</t>
  </si>
  <si>
    <t>AG0650982</t>
  </si>
  <si>
    <t>AR0651847</t>
  </si>
  <si>
    <t>006052849</t>
  </si>
  <si>
    <t>AM0859455</t>
  </si>
  <si>
    <t>AN0386737</t>
  </si>
  <si>
    <t>AR0275185</t>
  </si>
  <si>
    <t>AM0518186</t>
  </si>
  <si>
    <t>AM0462747</t>
  </si>
  <si>
    <t>AM0651987</t>
  </si>
  <si>
    <t>AK0247377</t>
  </si>
  <si>
    <t>AH0356921</t>
  </si>
  <si>
    <t>AF0595349</t>
  </si>
  <si>
    <t>AM0801014</t>
  </si>
  <si>
    <t>AN0720313</t>
  </si>
  <si>
    <t>AR0500649</t>
  </si>
  <si>
    <t>AN0271983</t>
  </si>
  <si>
    <t>AN0211084</t>
  </si>
  <si>
    <t>AK0271280</t>
  </si>
  <si>
    <t>AR0350149</t>
  </si>
  <si>
    <t>AK0662685</t>
  </si>
  <si>
    <t>AM0477404</t>
  </si>
  <si>
    <t>AH0330392</t>
  </si>
  <si>
    <t>AR0286399</t>
  </si>
  <si>
    <t>AH0344589</t>
  </si>
  <si>
    <t>AG0284805</t>
  </si>
  <si>
    <t>009680729</t>
  </si>
  <si>
    <t>գ.Մ.Սեպասար</t>
  </si>
  <si>
    <t>չի մշակվում</t>
  </si>
  <si>
    <t>այո</t>
  </si>
  <si>
    <t>ցորեն</t>
  </si>
  <si>
    <t>2</t>
  </si>
  <si>
    <t>2.0</t>
  </si>
  <si>
    <t>3.0</t>
  </si>
  <si>
    <t>1.80</t>
  </si>
  <si>
    <t>2.09</t>
  </si>
  <si>
    <t>գ. Աշոցք</t>
  </si>
  <si>
    <t>Ալեքսան Պողոսյան Վաղինակի</t>
  </si>
  <si>
    <t>AB0577620</t>
  </si>
  <si>
    <t>Անահիտ Գալստյան  Պասկևիչի</t>
  </si>
  <si>
    <t>AM0710383</t>
  </si>
  <si>
    <t>Անթառան Բարոյան Հովհաննեսի</t>
  </si>
  <si>
    <t>AM0263873</t>
  </si>
  <si>
    <t>Աշոտ Թամասյան Վանոյի</t>
  </si>
  <si>
    <t>AB0392440</t>
  </si>
  <si>
    <t>Աշոտ Հակոբյան Սիմոնի</t>
  </si>
  <si>
    <t>AK0693298</t>
  </si>
  <si>
    <t>AK0215552</t>
  </si>
  <si>
    <t>գ.Աշոցք</t>
  </si>
  <si>
    <t>Ավետիք Իսահակյան Ազատի</t>
  </si>
  <si>
    <t>AG0402742</t>
  </si>
  <si>
    <t>Արամայիս Տոնոյան Վանիկի</t>
  </si>
  <si>
    <t>AK0275255</t>
  </si>
  <si>
    <t>Արայիկ  Քոչարյան Աշոտի</t>
  </si>
  <si>
    <t>AA0677131</t>
  </si>
  <si>
    <t>Արթուր  Վարոսյան Անդրանիկի</t>
  </si>
  <si>
    <t>AB0577987</t>
  </si>
  <si>
    <t>Արթուր Բարոյան Վոլոդյայի</t>
  </si>
  <si>
    <t>Արթուր Գևորգյան Յուրիկի</t>
  </si>
  <si>
    <t>AK0225396</t>
  </si>
  <si>
    <t>Արթուր Մուրադյան Միսակի</t>
  </si>
  <si>
    <t>AF0485015</t>
  </si>
  <si>
    <t>Արկադի Հասրաթյան Լիպսիրի</t>
  </si>
  <si>
    <t>AN0233186</t>
  </si>
  <si>
    <t>Արմեն Տոնոյան Անդրուշի</t>
  </si>
  <si>
    <t>AN0362387</t>
  </si>
  <si>
    <t>Արտակ Ասատրյան Վոլոդյոյի</t>
  </si>
  <si>
    <t>AB0588498</t>
  </si>
  <si>
    <t>Արտակ Մանուկյան Կարապետի</t>
  </si>
  <si>
    <t>AK0646230</t>
  </si>
  <si>
    <t>Բաղդասար Պողոսյան Տոլիկի</t>
  </si>
  <si>
    <t>AK0462734</t>
  </si>
  <si>
    <t>Գագիկ Սարիբեկյան Ժորայի</t>
  </si>
  <si>
    <t>AA0326539</t>
  </si>
  <si>
    <t>Գագիկ Քալանթարյան Նորիկի</t>
  </si>
  <si>
    <t>AB0653049</t>
  </si>
  <si>
    <t xml:space="preserve">Գագիկ Քալաշյան Ալեքսանի </t>
  </si>
  <si>
    <t>AM0743227</t>
  </si>
  <si>
    <t>Գայանե Մելիքյան Հակոբի</t>
  </si>
  <si>
    <t>AH0278922</t>
  </si>
  <si>
    <t>Գասպար Գուրգենյան Մարտիկի</t>
  </si>
  <si>
    <t>AK0676306</t>
  </si>
  <si>
    <t>Գեորգի  Սանոսյան Սիմոնի</t>
  </si>
  <si>
    <t>AM0886770</t>
  </si>
  <si>
    <t>Գոռ Հարությունյան Սամվելի</t>
  </si>
  <si>
    <t>AC0626141</t>
  </si>
  <si>
    <t xml:space="preserve">Ժորա Մարգարյան Աշոտ   </t>
  </si>
  <si>
    <t>001409275</t>
  </si>
  <si>
    <t>Ժորա Սարգսյան Մուգուչի</t>
  </si>
  <si>
    <t>AK0439181</t>
  </si>
  <si>
    <t>Լեվոն Եդիգարյան Ժորայի</t>
  </si>
  <si>
    <t>AK0670739</t>
  </si>
  <si>
    <t>Լյուդմիլա Գալստյան  Արտյոմի</t>
  </si>
  <si>
    <t>AK0295900</t>
  </si>
  <si>
    <t>Լուսիկ Պապոյան Վոլոդյայի</t>
  </si>
  <si>
    <t>AN0301596</t>
  </si>
  <si>
    <t>Խաչատուր Խաչատրյան Հայկի</t>
  </si>
  <si>
    <t>AP0623794</t>
  </si>
  <si>
    <t>Կարեն Գրիգորյան Մուշեղի</t>
  </si>
  <si>
    <t>AH04113894</t>
  </si>
  <si>
    <t>Կարեն Թաթոյան Վոլոդյայի</t>
  </si>
  <si>
    <t>AK0569452</t>
  </si>
  <si>
    <t>Կարինե Մակարյան Ալբերտի</t>
  </si>
  <si>
    <t>AC0626206</t>
  </si>
  <si>
    <t>Հաբեթնակ Սարոյան Սարիկի</t>
  </si>
  <si>
    <t>AG0650967</t>
  </si>
  <si>
    <t>Հակոբ Վարոսյան Ժորայի</t>
  </si>
  <si>
    <t>AN0394892</t>
  </si>
  <si>
    <t>Հայկ Խաչատրյան Ֆայինբերգի</t>
  </si>
  <si>
    <t>AA0480059</t>
  </si>
  <si>
    <t>Հարություն Սարիբեկյան Դուկենի</t>
  </si>
  <si>
    <t>AN0491667</t>
  </si>
  <si>
    <t>Հենրիկ Ղազարյան Հայկազի</t>
  </si>
  <si>
    <t>AB0577999</t>
  </si>
  <si>
    <t xml:space="preserve">Հովհաննես Ալեքսանյան  Բագրատի </t>
  </si>
  <si>
    <t>Հովհաննես Մաճարյան Հովնանի</t>
  </si>
  <si>
    <t>AK0405954</t>
  </si>
  <si>
    <t>Հովհաննես Սարիբեկյան Մեսրոպի</t>
  </si>
  <si>
    <t>AG0458562</t>
  </si>
  <si>
    <t>Հովսեփ Թորոսյան Արարատի</t>
  </si>
  <si>
    <t>AC0352558</t>
  </si>
  <si>
    <t>Մանուկ Հովհաննեսի Խաչատրայան</t>
  </si>
  <si>
    <t>AM0905453</t>
  </si>
  <si>
    <t>Մանվել  Ռուբենյան Սամվելի</t>
  </si>
  <si>
    <t>AN0590207</t>
  </si>
  <si>
    <t>Մարտիրոս Համբարյան Լեգրանի</t>
  </si>
  <si>
    <t>AM0859450</t>
  </si>
  <si>
    <t>Մեսրոպ Վարոսյան Վարդգեսի</t>
  </si>
  <si>
    <t>AH0533531</t>
  </si>
  <si>
    <t>Մկրտիչ Հարթենյան Բաբկենի</t>
  </si>
  <si>
    <t>AG0518349</t>
  </si>
  <si>
    <t xml:space="preserve">Նելի Մելիքյան  Մելիքսեթի </t>
  </si>
  <si>
    <t>002876498</t>
  </si>
  <si>
    <t>Ռազմիկ  Սողոյան Հենրիկի</t>
  </si>
  <si>
    <t>AR0207725</t>
  </si>
  <si>
    <t>Ռազմիկ Պապոյան Միսակի</t>
  </si>
  <si>
    <t>AG0458578</t>
  </si>
  <si>
    <t>Ռիտա Ավետիսյան Միքայելի</t>
  </si>
  <si>
    <t>AN0295773</t>
  </si>
  <si>
    <t>Ռոմանոս Ղազարյան Նիկոլի</t>
  </si>
  <si>
    <t>AK0618060</t>
  </si>
  <si>
    <t>Ռուզանա Հովհաննիսյան  Արտուշի</t>
  </si>
  <si>
    <t>AM0506772</t>
  </si>
  <si>
    <t>Սամվել Ոսկանյան Ֆելիքսի</t>
  </si>
  <si>
    <t>AB0577818</t>
  </si>
  <si>
    <t>Սամվել Վարոսյան Վարդգեսի</t>
  </si>
  <si>
    <t>AC0352616</t>
  </si>
  <si>
    <t>Սարգիս Աղեկյան Ռոբերտի</t>
  </si>
  <si>
    <t>AH0278927</t>
  </si>
  <si>
    <t>Սմբատ Սարգսյան Զավենի</t>
  </si>
  <si>
    <t>AF0247240</t>
  </si>
  <si>
    <t>Սուսաննա Թովմասյան Սերյոժայի</t>
  </si>
  <si>
    <t>AM0875229</t>
  </si>
  <si>
    <t>Վաչագան Խաչատրյան Հայկի</t>
  </si>
  <si>
    <t>AK0691386</t>
  </si>
  <si>
    <t>Վարդան  Պապոյան Վոլոդյայի</t>
  </si>
  <si>
    <t>AN0334935</t>
  </si>
  <si>
    <t>Վեներա Վարոսյան Լյուդվիգի</t>
  </si>
  <si>
    <t>AA0480260</t>
  </si>
  <si>
    <t>Տիգրան  Մկրտչյան Վլադիկի</t>
  </si>
  <si>
    <t>AH0344513</t>
  </si>
  <si>
    <t>Տիգրան Սարոյան Շավարշի</t>
  </si>
  <si>
    <t>AK0422384</t>
  </si>
  <si>
    <t xml:space="preserve">Տոնոյան Մուշեղ Ռոբերտի  </t>
  </si>
  <si>
    <t>AH0361004</t>
  </si>
  <si>
    <t>Րաֆֆի Պապոյան Սերյոժայի</t>
  </si>
  <si>
    <t>AN0420173</t>
  </si>
  <si>
    <t>աշխ. Փնտրող</t>
  </si>
  <si>
    <t>գարի, ցորեն</t>
  </si>
  <si>
    <t>գ. Զույգաղբյուր</t>
  </si>
  <si>
    <t>Հովիկ Սարգսյան Ֆրանցի</t>
  </si>
  <si>
    <t>AM0646997</t>
  </si>
  <si>
    <t>գ.Զույգաղբյուր</t>
  </si>
  <si>
    <t>չի մշակվել</t>
  </si>
  <si>
    <t>գ.Կրասար</t>
  </si>
  <si>
    <t>Ասլան Բաղդասարյան  Միշայի</t>
  </si>
  <si>
    <t>AR0615319</t>
  </si>
  <si>
    <t>Արամայիս Խոջոյան  Հարությունի</t>
  </si>
  <si>
    <t>АМ0565714</t>
  </si>
  <si>
    <t>Լիաննա Ներսիսյան  Թովմասի</t>
  </si>
  <si>
    <t>004854717</t>
  </si>
  <si>
    <t>Տիգրան Հովհաննիսյան  Մելիքի</t>
  </si>
  <si>
    <t>AM0870978</t>
  </si>
  <si>
    <t>Գ.Կրասար</t>
  </si>
  <si>
    <t>Մխիթար Մխիթարյան  Աղվանի</t>
  </si>
  <si>
    <t>AM0565719</t>
  </si>
  <si>
    <t>Ալբերտ Մխիթարյան  Աղվանի</t>
  </si>
  <si>
    <t>AR0494184</t>
  </si>
  <si>
    <t>Բաղդասարյան Սուսաննա Ռոբերտի</t>
  </si>
  <si>
    <t>AK0434384</t>
  </si>
  <si>
    <t xml:space="preserve">ցորեն </t>
  </si>
  <si>
    <t>գ.Ղազանչի</t>
  </si>
  <si>
    <t>Լևոն Աթանեսյան Արտավազդի</t>
  </si>
  <si>
    <t>AM0525958</t>
  </si>
  <si>
    <t>Սամվել Ադլոյան Հովսեփի</t>
  </si>
  <si>
    <t>AC0352851</t>
  </si>
  <si>
    <t>Մարինե Թիթոյան Կարապետի</t>
  </si>
  <si>
    <t>AM0914164</t>
  </si>
  <si>
    <t>Ռոբերտ Թիթոյան Ստյոպայի</t>
  </si>
  <si>
    <t>AR02497719</t>
  </si>
  <si>
    <t>Սարգիս Արոսյան Մելիքսեթի</t>
  </si>
  <si>
    <t>005933452</t>
  </si>
  <si>
    <t xml:space="preserve">Էդիկ Թովմասյան ՆԵրսեսի </t>
  </si>
  <si>
    <t>BA1361011</t>
  </si>
  <si>
    <t>Դավիթ Թիթոյան  Կարապետի</t>
  </si>
  <si>
    <t>AB0577749</t>
  </si>
  <si>
    <t>Հովիկ Թիթոյան  Աբրահամի</t>
  </si>
  <si>
    <t>001215136</t>
  </si>
  <si>
    <t>Սասունիկ Եգանյան Ալեքսանի</t>
  </si>
  <si>
    <t>AH0544085</t>
  </si>
  <si>
    <t>Նվեր Բդոյան Վարազդատի</t>
  </si>
  <si>
    <t>0010214872</t>
  </si>
  <si>
    <t>ՍեյրանՄելքոնյան Սուրենի</t>
  </si>
  <si>
    <t>AH0361197</t>
  </si>
  <si>
    <t>Արթուր Գրիգորյան  Հրաչիկի</t>
  </si>
  <si>
    <t>AN0772986</t>
  </si>
  <si>
    <t>Վարդան Գրիգորյան  Սիմոնի</t>
  </si>
  <si>
    <t>AM026039</t>
  </si>
  <si>
    <t xml:space="preserve">Հռիփսիմե Միքաելյան Եսավի </t>
  </si>
  <si>
    <t>AA0361851</t>
  </si>
  <si>
    <t>Գագիկ Մելքոնյան Սամվելի</t>
  </si>
  <si>
    <t>AK0479446</t>
  </si>
  <si>
    <t>Նորիկ Եգանյան Սերյոժայի</t>
  </si>
  <si>
    <t>AK0651681</t>
  </si>
  <si>
    <t>Անահիտ Սումբուլյան  Պողոսի</t>
  </si>
  <si>
    <t>AB0237900</t>
  </si>
  <si>
    <t>Թագուշ Մելքոնյան Զիլիմխանի</t>
  </si>
  <si>
    <t>AN0256538</t>
  </si>
  <si>
    <t>Սամվել Մելքոնյան Անուշավանի</t>
  </si>
  <si>
    <t>AH0278940</t>
  </si>
  <si>
    <t>Հերմինե Սումբուլյան  Նիկոլի</t>
  </si>
  <si>
    <t>AM0870996</t>
  </si>
  <si>
    <t>Հերմինե Մարկոսյան Ռոբերտի</t>
  </si>
  <si>
    <t>007488638</t>
  </si>
  <si>
    <t xml:space="preserve">Ալեքսան Մխեյան  Մեխակի </t>
  </si>
  <si>
    <t>AH0693815</t>
  </si>
  <si>
    <t>Սուքիաս Խաչատրյան Մամիկոնի</t>
  </si>
  <si>
    <t>AP0634746</t>
  </si>
  <si>
    <t>Պետրոս Մխիթարյան Սերժիկի</t>
  </si>
  <si>
    <t>AR0201249</t>
  </si>
  <si>
    <t>Արամայիս Մխեյան Սրապի</t>
  </si>
  <si>
    <t>005416979</t>
  </si>
  <si>
    <t>Ստեփան Մխիթարյան Աղասու</t>
  </si>
  <si>
    <t>AN0732555</t>
  </si>
  <si>
    <t>Համիկ Խաչատրյան  Սեդրակի</t>
  </si>
  <si>
    <t>AP0649151</t>
  </si>
  <si>
    <t>Հովսեփ Խաչատրյան Գուրգենի</t>
  </si>
  <si>
    <t>AN0711140</t>
  </si>
  <si>
    <t>Մեխակ Մխիթարյան Ալեքսանի</t>
  </si>
  <si>
    <t>AN0713223</t>
  </si>
  <si>
    <t>Արայիկ Մելքոնյան Արտաշի</t>
  </si>
  <si>
    <t>AN0248504</t>
  </si>
  <si>
    <t>Մարատ Խաչատրյան  Ալեքսանի</t>
  </si>
  <si>
    <t>AM0249874</t>
  </si>
  <si>
    <t xml:space="preserve">Ջուլիետա Հարութունյան Ռոբերտի </t>
  </si>
  <si>
    <t>AN0698929</t>
  </si>
  <si>
    <t>Վռամ Ղալաչյան Ռիվելի</t>
  </si>
  <si>
    <t>AK0242475</t>
  </si>
  <si>
    <t>Հովսեփ Թիթոյան Հովհաննեսի</t>
  </si>
  <si>
    <t>004342432</t>
  </si>
  <si>
    <t>Սամվելիկ Մխիթարյան Գևորգի</t>
  </si>
  <si>
    <t>AP0525765</t>
  </si>
  <si>
    <t>AN0344360</t>
  </si>
  <si>
    <t>Նազելի Ավետիսյան Հովհաննեսի</t>
  </si>
  <si>
    <t>AN0762257</t>
  </si>
  <si>
    <t xml:space="preserve">Պետրոս Պետրոսյան Արթուրի </t>
  </si>
  <si>
    <t>AH0278944</t>
  </si>
  <si>
    <t xml:space="preserve">Արթուր Պետրոսյան  Պետրոսի </t>
  </si>
  <si>
    <t>001965177</t>
  </si>
  <si>
    <t>Գևորգ Վարոսյան Սրապի</t>
  </si>
  <si>
    <t>AM0437492</t>
  </si>
  <si>
    <t xml:space="preserve"> Սերգեյ Սարգսյան Սամվելի</t>
  </si>
  <si>
    <t>004229449</t>
  </si>
  <si>
    <t xml:space="preserve">   </t>
  </si>
  <si>
    <t>վարած</t>
  </si>
  <si>
    <t xml:space="preserve">Ասլի Սարիբեկյան  Աբիսողոմի  </t>
  </si>
  <si>
    <t>վարսակ</t>
  </si>
  <si>
    <t>վար</t>
  </si>
  <si>
    <t>094106532</t>
  </si>
  <si>
    <t>094 833089</t>
  </si>
  <si>
    <t>Արկադի Թովմասյան Աեդրադի</t>
  </si>
  <si>
    <t>AH0413851</t>
  </si>
  <si>
    <t>Վարդան Ղալաչյան Ռիվելի</t>
  </si>
  <si>
    <t>AK0242474</t>
  </si>
  <si>
    <t>Վար</t>
  </si>
  <si>
    <t>Լևովա Մխիթարյան  Ռուբիկի</t>
  </si>
  <si>
    <t>AG0619502</t>
  </si>
  <si>
    <t>չի մշակում</t>
  </si>
  <si>
    <t>Համլետ Ղալաչյան Գևորգի</t>
  </si>
  <si>
    <t xml:space="preserve">Մարուսյա Ղալաչյան Սերոբի </t>
  </si>
  <si>
    <t>AB0237863</t>
  </si>
  <si>
    <t>Աշոցք</t>
  </si>
  <si>
    <t xml:space="preserve">        բացակա</t>
  </si>
  <si>
    <t>077438343</t>
  </si>
  <si>
    <t>Սիզավետ</t>
  </si>
  <si>
    <t>Դումոյան Սոնյա Սիմիկի</t>
  </si>
  <si>
    <t>АР0271547</t>
  </si>
  <si>
    <t xml:space="preserve">ՀՀ Շիրակի մարզ Աշոցք համայնք, գյուղ Սիզավետ, 9-րդ Փ. 2-րդ Փկղ. Տ7 </t>
  </si>
  <si>
    <t>-</t>
  </si>
  <si>
    <t>099700992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</si>
</sst>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GHEA Grapalat"/>
      <family val="3"/>
    </font>
    <font>
      <sz val="8"/>
      <name val="Arial"/>
    </font>
    <font>
      <sz val="9"/>
      <name val="GHEA Grapalat"/>
      <family val="3"/>
    </font>
    <font>
      <b/>
      <sz val="8"/>
      <name val="GHEA Grapalat"/>
      <family val="3"/>
    </font>
    <font>
      <sz val="8"/>
      <name val="GHEA Grapalat"/>
      <family val="3"/>
    </font>
    <font>
      <b/>
      <sz val="11"/>
      <name val="GHEA Grapalat"/>
      <family val="3"/>
    </font>
    <font>
      <sz val="8"/>
      <color theme="1"/>
      <name val="GHEA Grapalat"/>
      <family val="3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u/>
      <sz val="8"/>
      <color theme="1"/>
      <name val="GHEA Grapalat"/>
      <family val="3"/>
    </font>
    <font>
      <u/>
      <sz val="8"/>
      <color theme="1"/>
      <name val="Arial"/>
      <family val="2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/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49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49" fontId="5" fillId="0" borderId="7" xfId="0" applyNumberFormat="1" applyFont="1" applyBorder="1" applyAlignment="1">
      <alignment horizontal="left" vertical="center"/>
    </xf>
    <xf numFmtId="1" fontId="5" fillId="0" borderId="7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2" fontId="5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2" fontId="5" fillId="0" borderId="7" xfId="0" applyNumberFormat="1" applyFont="1" applyBorder="1" applyAlignment="1">
      <alignment horizontal="right" vertical="center"/>
    </xf>
    <xf numFmtId="1" fontId="5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right" vertical="center"/>
    </xf>
    <xf numFmtId="1" fontId="5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1" fillId="0" borderId="8" xfId="0" applyFont="1" applyBorder="1" applyAlignme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0" fillId="0" borderId="1" xfId="0" applyBorder="1"/>
    <xf numFmtId="0" fontId="5" fillId="0" borderId="2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vertical="center"/>
    </xf>
    <xf numFmtId="2" fontId="5" fillId="0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right" vertical="center"/>
    </xf>
    <xf numFmtId="1" fontId="8" fillId="0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1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_Sheet1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76;&#1086;&#1082;&#1091;&#1084;&#1077;&#1085;&#1090;&#1099;/HAKOBJAN/Gyxatn.%20ev%20Blankner/&#1359;&#1381;&#1394;.%20&#1396;&#1387;&#1401;&#1415;%203&#1392;&#1377;%20&#1344;&#1400;&#1406;&#1400;%202018-2020&#1385;/&#1053;&#1086;&#1074;&#1072;&#1103;%20&#1087;&#1072;&#1087;&#1082;&#1072;%20(3)3.02.2020/&#1053;&#1086;&#1074;&#1072;&#1103;%20&#1087;&#1072;&#1087;&#1082;&#1072;%2029.04.2020/&#1053;&#1086;&#1074;&#1072;&#1103;%20&#1087;&#1072;&#1087;&#1082;&#1072;%202020&#1385;.%20&#1406;&#1381;&#1408;&#1403;&#1387;&#1398;&#1384;/&#1396;&#1387;&#1398;&#1401;&#1415;%203&#1392;&#1377;%202021&#1385;/2020&#1385;.%20&#1406;&#1381;&#1408;&#1403;%20_%202DZEVACHAP_1-%20-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Աշոցք"/>
      <sheetName val="Զույգաղբյուր "/>
      <sheetName val="Փ. Սեպասար "/>
      <sheetName val="Կրասար "/>
      <sheetName val="Ղազանչի "/>
      <sheetName val="Մ. Սեպասար "/>
    </sheetNames>
    <sheetDataSet>
      <sheetData sheetId="0"/>
      <sheetData sheetId="1"/>
      <sheetData sheetId="2"/>
      <sheetData sheetId="3">
        <row r="17">
          <cell r="B17" t="str">
            <v xml:space="preserve">գ․Փ․Սեպասար </v>
          </cell>
          <cell r="C17" t="str">
            <v>Լյովա Մինասյան Սուրենի</v>
          </cell>
          <cell r="D17" t="str">
            <v>AB0588217</v>
          </cell>
          <cell r="E17">
            <v>58</v>
          </cell>
          <cell r="F17" t="str">
            <v xml:space="preserve">գ․Փ․Սեպասար </v>
          </cell>
        </row>
        <row r="18">
          <cell r="B18" t="str">
            <v xml:space="preserve">գ․Փ․Սեպասար </v>
          </cell>
          <cell r="C18" t="str">
            <v>Աղվան Ալեքսանյան Ալեքսանի</v>
          </cell>
          <cell r="D18" t="str">
            <v>AM0419699</v>
          </cell>
          <cell r="E18">
            <v>52</v>
          </cell>
          <cell r="F18" t="str">
            <v xml:space="preserve">գ․Փ․Սեպասար </v>
          </cell>
        </row>
        <row r="19">
          <cell r="B19" t="str">
            <v xml:space="preserve">գ․Փ․Սեպասար </v>
          </cell>
          <cell r="C19" t="str">
            <v>Մանուշ Ամրոյան  Վարազդատի</v>
          </cell>
          <cell r="D19" t="str">
            <v>AF0704223</v>
          </cell>
          <cell r="E19">
            <v>61</v>
          </cell>
          <cell r="F19" t="str">
            <v xml:space="preserve">գ․Փ․Սեպասար </v>
          </cell>
        </row>
        <row r="21">
          <cell r="B21" t="str">
            <v xml:space="preserve">գ․Փ․Սեպասար </v>
          </cell>
          <cell r="C21" t="str">
            <v>Էդգար Մարտիրոսի Թովմասյան</v>
          </cell>
          <cell r="D21" t="str">
            <v>AG0284883</v>
          </cell>
          <cell r="E21">
            <v>33</v>
          </cell>
          <cell r="F21" t="str">
            <v xml:space="preserve">գ․Փ․Սեպասար </v>
          </cell>
        </row>
        <row r="22">
          <cell r="B22" t="str">
            <v xml:space="preserve">գ․Փ․Սեպասար </v>
          </cell>
          <cell r="C22" t="str">
            <v>Անահիտ Խաչիկի Սարգսյան</v>
          </cell>
          <cell r="D22" t="str">
            <v>AC0489691</v>
          </cell>
          <cell r="E22">
            <v>54</v>
          </cell>
          <cell r="F22" t="str">
            <v xml:space="preserve">գ․Փ․Սեպասար </v>
          </cell>
        </row>
        <row r="23">
          <cell r="B23" t="str">
            <v xml:space="preserve">գ․Փ․Սեպասար </v>
          </cell>
          <cell r="C23" t="str">
            <v>Արամայիս Ալեքսանի Սողոյան</v>
          </cell>
          <cell r="D23" t="str">
            <v>AA0435588</v>
          </cell>
          <cell r="E23">
            <v>60</v>
          </cell>
          <cell r="F23" t="str">
            <v xml:space="preserve">գ․Փ․Սեպասար </v>
          </cell>
        </row>
        <row r="24">
          <cell r="B24" t="str">
            <v xml:space="preserve">գ․Փ․Սեպասար </v>
          </cell>
          <cell r="C24" t="str">
            <v>Հարություն Ռոբերտի Սարգսյան</v>
          </cell>
          <cell r="D24" t="str">
            <v>AM0225531</v>
          </cell>
          <cell r="E24">
            <v>35</v>
          </cell>
          <cell r="F24" t="str">
            <v xml:space="preserve">գ․Փ․Սեպասար </v>
          </cell>
        </row>
        <row r="25">
          <cell r="B25" t="str">
            <v xml:space="preserve">գ․Փ․Սեպասար </v>
          </cell>
          <cell r="C25" t="str">
            <v>Մարիամ Եղիշի Դանիելյան</v>
          </cell>
          <cell r="D25" t="str">
            <v>AB0577669</v>
          </cell>
          <cell r="E25">
            <v>61</v>
          </cell>
          <cell r="F25" t="str">
            <v xml:space="preserve">գ․Փ․Սեպասար </v>
          </cell>
        </row>
        <row r="26">
          <cell r="B26" t="str">
            <v xml:space="preserve">գ․Փ․Սեպասար </v>
          </cell>
          <cell r="C26" t="str">
            <v>Սերոբ Միսակի Մելիքյան</v>
          </cell>
          <cell r="D26" t="str">
            <v>AN0390566</v>
          </cell>
          <cell r="E26">
            <v>61</v>
          </cell>
          <cell r="F26" t="str">
            <v xml:space="preserve">գ․Փ․Սեպասար </v>
          </cell>
        </row>
        <row r="27">
          <cell r="B27" t="str">
            <v xml:space="preserve">գ․Փ․Սեպասար </v>
          </cell>
          <cell r="C27" t="str">
            <v>Լեվոն Խաչատուրի Սարգսյան</v>
          </cell>
          <cell r="D27" t="str">
            <v>AK0293326</v>
          </cell>
          <cell r="E27">
            <v>57</v>
          </cell>
          <cell r="F27" t="str">
            <v xml:space="preserve">գ․Փ․Սեպասար </v>
          </cell>
        </row>
        <row r="28">
          <cell r="B28" t="str">
            <v xml:space="preserve">գ․Փ․Սեպասար </v>
          </cell>
          <cell r="C28" t="str">
            <v>Սամվել Կարապետի Կարապետյան</v>
          </cell>
          <cell r="D28" t="str">
            <v>AN0362370</v>
          </cell>
          <cell r="E28">
            <v>39</v>
          </cell>
          <cell r="F28" t="str">
            <v xml:space="preserve">գ․Փ․Սեպասար </v>
          </cell>
        </row>
        <row r="29">
          <cell r="B29" t="str">
            <v xml:space="preserve">գ․Փ․Սեպասար </v>
          </cell>
          <cell r="C29" t="str">
            <v>Կարեն Նահապետի Կարապետյան</v>
          </cell>
          <cell r="D29" t="str">
            <v>AN0394883</v>
          </cell>
          <cell r="E29">
            <v>42</v>
          </cell>
          <cell r="F29" t="str">
            <v xml:space="preserve">գ․Փ․Սեպասար </v>
          </cell>
        </row>
        <row r="30">
          <cell r="B30" t="str">
            <v xml:space="preserve">գ․Փ․Սեպասար </v>
          </cell>
          <cell r="C30" t="str">
            <v>Արարատ Վարազդատի Ամրոյան</v>
          </cell>
          <cell r="D30" t="str">
            <v>AN0470952</v>
          </cell>
          <cell r="E30">
            <v>58</v>
          </cell>
          <cell r="F30" t="str">
            <v xml:space="preserve">գ․Փ․Սեպասար </v>
          </cell>
        </row>
        <row r="31">
          <cell r="B31" t="str">
            <v xml:space="preserve">գ․Փ․Սեպասար </v>
          </cell>
          <cell r="C31" t="str">
            <v>Սամվել Ռուբիկի Մելիքյան</v>
          </cell>
          <cell r="D31" t="str">
            <v>AH0526239</v>
          </cell>
          <cell r="E31">
            <v>60</v>
          </cell>
          <cell r="F31" t="str">
            <v xml:space="preserve">գ․Փ․Սեպասար </v>
          </cell>
        </row>
        <row r="32">
          <cell r="B32" t="str">
            <v xml:space="preserve">գ․Փ․Սեպասար </v>
          </cell>
          <cell r="C32" t="str">
            <v>Սեյրան Արշալույսի Մինասյան</v>
          </cell>
          <cell r="D32" t="str">
            <v>AK0461951</v>
          </cell>
          <cell r="E32">
            <v>51</v>
          </cell>
          <cell r="F32" t="str">
            <v xml:space="preserve">գ․Փ․Սեպասար </v>
          </cell>
        </row>
        <row r="33">
          <cell r="B33" t="str">
            <v xml:space="preserve">գ․Փ․Սեպասար </v>
          </cell>
          <cell r="C33" t="str">
            <v>Աշոտ Գեղեցիկի Գասպարյան</v>
          </cell>
          <cell r="D33" t="str">
            <v>AM0406499</v>
          </cell>
          <cell r="E33">
            <v>58</v>
          </cell>
          <cell r="F33" t="str">
            <v xml:space="preserve">գ․Փ․Սեպասար </v>
          </cell>
        </row>
        <row r="34">
          <cell r="B34" t="str">
            <v xml:space="preserve">գ․Փ․Սեպասար </v>
          </cell>
          <cell r="C34" t="str">
            <v>Հարություն Անդրանիկի Ղուկասյան</v>
          </cell>
          <cell r="D34" t="str">
            <v>AH0552374</v>
          </cell>
          <cell r="E34">
            <v>59</v>
          </cell>
          <cell r="F34" t="str">
            <v xml:space="preserve">գ․Փ․Սեպասար </v>
          </cell>
        </row>
        <row r="35">
          <cell r="B35" t="str">
            <v xml:space="preserve">գ․Փ․Սեպասար </v>
          </cell>
          <cell r="C35" t="str">
            <v>Խուրշուդյան  Մարիետա Մկրտչի</v>
          </cell>
          <cell r="D35" t="str">
            <v>AN0248513</v>
          </cell>
          <cell r="E35">
            <v>61</v>
          </cell>
          <cell r="F35" t="str">
            <v xml:space="preserve">գ․Փ․Սեպասար </v>
          </cell>
        </row>
        <row r="36">
          <cell r="B36" t="str">
            <v xml:space="preserve">գ․Փ․Սեպասար </v>
          </cell>
          <cell r="C36" t="str">
            <v>Հարություն Արշալույսի Մինասյան</v>
          </cell>
          <cell r="D36" t="str">
            <v>AH0344531</v>
          </cell>
          <cell r="E36">
            <v>54</v>
          </cell>
          <cell r="F36" t="str">
            <v xml:space="preserve">գ․Փ․Սեպասար </v>
          </cell>
        </row>
        <row r="37">
          <cell r="B37" t="str">
            <v xml:space="preserve">գ․Փ․Սեպասար </v>
          </cell>
          <cell r="C37" t="str">
            <v>Հռիփսիկ Սահակի Սահակյան</v>
          </cell>
          <cell r="D37" t="str">
            <v>AA0435581</v>
          </cell>
          <cell r="E37">
            <v>59</v>
          </cell>
          <cell r="F37" t="str">
            <v xml:space="preserve">գ․Փ․Սեպասար </v>
          </cell>
        </row>
        <row r="38">
          <cell r="B38" t="str">
            <v xml:space="preserve">գ․Փ․Սեպասար </v>
          </cell>
          <cell r="C38" t="str">
            <v>Երվանդ Ալեքսանի Ալեքսանյան</v>
          </cell>
          <cell r="D38" t="str">
            <v>AN0211076</v>
          </cell>
          <cell r="E38">
            <v>56</v>
          </cell>
          <cell r="F38" t="str">
            <v xml:space="preserve">գ․Փ․Սեպասար </v>
          </cell>
        </row>
        <row r="39">
          <cell r="B39" t="str">
            <v xml:space="preserve">գ․Փ․Սեպասար </v>
          </cell>
          <cell r="C39" t="str">
            <v>Հովհաննես Արշալույսի Մինասյան</v>
          </cell>
          <cell r="D39" t="str">
            <v>AK0461950</v>
          </cell>
          <cell r="E39">
            <v>53</v>
          </cell>
          <cell r="F39" t="str">
            <v xml:space="preserve">գ․Փ․Սեպասար </v>
          </cell>
        </row>
        <row r="40">
          <cell r="B40" t="str">
            <v xml:space="preserve">գ․Փ․Սեպասար </v>
          </cell>
          <cell r="C40" t="str">
            <v>Շուշան Միսակի Սարգսյան</v>
          </cell>
          <cell r="D40" t="str">
            <v>AM0395786</v>
          </cell>
          <cell r="E40">
            <v>58</v>
          </cell>
          <cell r="F40" t="str">
            <v xml:space="preserve">գ․Փ․Սեպասար </v>
          </cell>
        </row>
        <row r="41">
          <cell r="B41" t="str">
            <v xml:space="preserve">գ․Փ․Սեպասար </v>
          </cell>
          <cell r="C41" t="str">
            <v>Խաչիկ Մերուժանի Սահակյան</v>
          </cell>
          <cell r="D41" t="str">
            <v>008304354</v>
          </cell>
          <cell r="E41">
            <v>42</v>
          </cell>
          <cell r="F41" t="str">
            <v xml:space="preserve">գ․Փ․Սեպասար </v>
          </cell>
        </row>
        <row r="42">
          <cell r="B42" t="str">
            <v xml:space="preserve">գ․Փ․Սեպասար </v>
          </cell>
          <cell r="C42" t="str">
            <v>Գրիգոր Սարգիսի Մինասյան</v>
          </cell>
          <cell r="D42" t="str">
            <v>AP0673432</v>
          </cell>
          <cell r="E42">
            <v>54</v>
          </cell>
          <cell r="F42" t="str">
            <v xml:space="preserve">գ․Փ․Սեպասար </v>
          </cell>
        </row>
        <row r="43">
          <cell r="B43" t="str">
            <v xml:space="preserve">գ․Փ․Սեպասար </v>
          </cell>
          <cell r="C43" t="str">
            <v>Անդրանիկ Սարգիսի Մինասյան</v>
          </cell>
          <cell r="D43" t="str">
            <v>AP0542699</v>
          </cell>
          <cell r="E43">
            <v>49</v>
          </cell>
          <cell r="F43" t="str">
            <v xml:space="preserve">գ․Փ․Սեպասար </v>
          </cell>
        </row>
        <row r="45">
          <cell r="B45" t="str">
            <v xml:space="preserve">գ․Փ․Սեպասար </v>
          </cell>
          <cell r="C45" t="str">
            <v>Հովհաննես Ալեքսանի Ալեքսանյան</v>
          </cell>
          <cell r="D45" t="str">
            <v>AM0377681</v>
          </cell>
          <cell r="E45">
            <v>57</v>
          </cell>
          <cell r="F45" t="str">
            <v xml:space="preserve">գ․Փ․Սեպասար </v>
          </cell>
        </row>
        <row r="46">
          <cell r="B46" t="str">
            <v xml:space="preserve">գ․Փ․Սեպասար </v>
          </cell>
          <cell r="C46" t="str">
            <v>Համլետ Սարգիսի Մինասյան</v>
          </cell>
          <cell r="D46" t="str">
            <v>AA0435587</v>
          </cell>
          <cell r="E46">
            <v>56</v>
          </cell>
          <cell r="F46" t="str">
            <v xml:space="preserve">գ․Փ․Սեպասար </v>
          </cell>
        </row>
        <row r="47">
          <cell r="B47" t="str">
            <v xml:space="preserve">գ․Փ․Սեպասար </v>
          </cell>
          <cell r="C47" t="str">
            <v>Դավիթ Պատվականի Մկրտչյան</v>
          </cell>
          <cell r="D47" t="str">
            <v>006311773</v>
          </cell>
          <cell r="E47">
            <v>47</v>
          </cell>
          <cell r="F47" t="str">
            <v xml:space="preserve">գ․Փ․Սեպասար </v>
          </cell>
        </row>
        <row r="48">
          <cell r="B48" t="str">
            <v xml:space="preserve">գ․Փ․Սեպասար </v>
          </cell>
          <cell r="C48" t="str">
            <v>Արմեն Մարտիրոսի Թովմասյան</v>
          </cell>
          <cell r="D48" t="str">
            <v>AK0672991</v>
          </cell>
          <cell r="E48">
            <v>39</v>
          </cell>
          <cell r="F48" t="str">
            <v xml:space="preserve">գ․Փ․Սեպասար </v>
          </cell>
        </row>
        <row r="49">
          <cell r="B49" t="str">
            <v xml:space="preserve">գ․Փ․Սեպասար </v>
          </cell>
          <cell r="C49" t="str">
            <v>Ալիկ Իսկոսի Մելիքյան</v>
          </cell>
          <cell r="D49" t="str">
            <v>009836719</v>
          </cell>
          <cell r="E49">
            <v>39</v>
          </cell>
          <cell r="F49" t="str">
            <v xml:space="preserve">գ․Փ․Սեպասար </v>
          </cell>
        </row>
        <row r="50">
          <cell r="B50" t="str">
            <v xml:space="preserve">գ․Փ․Սեպասար </v>
          </cell>
          <cell r="C50" t="str">
            <v>Ալվարդ Հմայակի Աթոյան</v>
          </cell>
          <cell r="D50" t="str">
            <v>AA0435569</v>
          </cell>
          <cell r="E50">
            <v>56</v>
          </cell>
          <cell r="F50" t="str">
            <v xml:space="preserve">գ․Փ․Սեպասար </v>
          </cell>
        </row>
        <row r="51">
          <cell r="B51" t="str">
            <v xml:space="preserve">գ․Փ․Սեպասար </v>
          </cell>
          <cell r="C51" t="str">
            <v>Թամարա Հմայակի Աթոյան</v>
          </cell>
          <cell r="D51" t="str">
            <v>AN0285243</v>
          </cell>
          <cell r="E51">
            <v>61</v>
          </cell>
          <cell r="F51" t="str">
            <v xml:space="preserve">գ․Փ․Սեպասար 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Views>
    <sheetView zoomScaleNormal="100" workbookViewId="0">
      <selection sqref="A1:Q10"/>
    </sheetView>
  </sheetViews>
  <sheetFormatPr defaultColWidth="5.85546875" defaultRowHeight="13.5" x14ac:dyDescent="0.25"/>
  <cols>
    <col min="1" max="1" width="4.140625" style="1" customWidth="1"/>
    <col min="2" max="2" width="11.7109375" style="1" customWidth="1"/>
    <col min="3" max="3" width="11.5703125" style="1" customWidth="1"/>
    <col min="4" max="4" width="13.7109375" style="1" customWidth="1"/>
    <col min="5" max="5" width="7.85546875" style="1" customWidth="1"/>
    <col min="6" max="6" width="10.2851562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48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48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48" s="2" customFormat="1" ht="120" customHeight="1" x14ac:dyDescent="0.25">
      <c r="A5" s="96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48" ht="166.5" customHeight="1" x14ac:dyDescent="0.25">
      <c r="A6" s="97"/>
      <c r="B6" s="97"/>
      <c r="C6" s="97"/>
      <c r="D6" s="97"/>
      <c r="E6" s="97"/>
      <c r="F6" s="97"/>
      <c r="G6" s="97"/>
      <c r="H6" s="97"/>
      <c r="I6" s="97"/>
      <c r="J6" s="10" t="s">
        <v>10</v>
      </c>
      <c r="K6" s="10" t="s">
        <v>11</v>
      </c>
      <c r="L6" s="11" t="s">
        <v>12</v>
      </c>
      <c r="M6" s="11" t="s">
        <v>4</v>
      </c>
      <c r="N6" s="11" t="s">
        <v>5</v>
      </c>
      <c r="O6" s="11" t="s">
        <v>14</v>
      </c>
      <c r="P6" s="11" t="s">
        <v>18</v>
      </c>
      <c r="Q6" s="11" t="s">
        <v>20</v>
      </c>
    </row>
    <row r="7" spans="1:48" ht="13.9" customHeight="1" x14ac:dyDescent="0.25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</row>
    <row r="8" spans="1:48" x14ac:dyDescent="0.25">
      <c r="A8" s="6">
        <v>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48" ht="15" customHeight="1" x14ac:dyDescent="0.25">
      <c r="A9" s="8">
        <v>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48" s="4" customFormat="1" x14ac:dyDescent="0.25">
      <c r="A10" s="6">
        <v>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2" spans="1:48" x14ac:dyDescent="0.25">
      <c r="B12" s="91" t="s">
        <v>19</v>
      </c>
      <c r="C12" s="91"/>
      <c r="D12" s="91"/>
      <c r="E12" s="91"/>
      <c r="F12" s="91"/>
      <c r="G12" s="91"/>
      <c r="H12" s="91"/>
      <c r="I12" s="91"/>
    </row>
    <row r="13" spans="1:48" ht="14.25" customHeight="1" x14ac:dyDescent="0.25"/>
  </sheetData>
  <mergeCells count="14">
    <mergeCell ref="A1:Q1"/>
    <mergeCell ref="A2:Q2"/>
    <mergeCell ref="B12:I12"/>
    <mergeCell ref="J5:K5"/>
    <mergeCell ref="L5:Q5"/>
    <mergeCell ref="G5:G6"/>
    <mergeCell ref="A5:A6"/>
    <mergeCell ref="B5:B6"/>
    <mergeCell ref="C5:C6"/>
    <mergeCell ref="D5:D6"/>
    <mergeCell ref="H5:H6"/>
    <mergeCell ref="E5:E6"/>
    <mergeCell ref="F5:F6"/>
    <mergeCell ref="I5:I6"/>
  </mergeCells>
  <phoneticPr fontId="2" type="noConversion"/>
  <pageMargins left="0" right="0.02" top="1" bottom="1" header="0.5" footer="0.5"/>
  <pageSetup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83"/>
  <sheetViews>
    <sheetView topLeftCell="A4" workbookViewId="0">
      <pane ySplit="1" topLeftCell="A48" activePane="bottomLeft" state="frozen"/>
      <selection activeCell="B4" sqref="B4"/>
      <selection pane="bottomLeft" activeCell="B77" sqref="B77"/>
    </sheetView>
  </sheetViews>
  <sheetFormatPr defaultColWidth="5.85546875" defaultRowHeight="13.5" x14ac:dyDescent="0.25"/>
  <cols>
    <col min="1" max="1" width="4.140625" style="1" customWidth="1"/>
    <col min="2" max="2" width="15.85546875" style="1" customWidth="1"/>
    <col min="3" max="3" width="29.7109375" style="1" customWidth="1"/>
    <col min="4" max="4" width="27.5703125" style="1" customWidth="1"/>
    <col min="5" max="5" width="7.85546875" style="1" customWidth="1"/>
    <col min="6" max="6" width="13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196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96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196" s="2" customFormat="1" ht="120" customHeight="1" x14ac:dyDescent="0.25">
      <c r="A5" s="96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196" ht="166.5" customHeight="1" x14ac:dyDescent="0.25">
      <c r="A6" s="97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196" ht="13.9" customHeight="1" x14ac:dyDescent="0.2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</row>
    <row r="8" spans="1:196" x14ac:dyDescent="0.25">
      <c r="A8" s="71">
        <v>1</v>
      </c>
      <c r="B8" s="17" t="s">
        <v>90</v>
      </c>
      <c r="C8" s="17" t="s">
        <v>91</v>
      </c>
      <c r="D8" s="26" t="s">
        <v>92</v>
      </c>
      <c r="E8" s="27">
        <v>59</v>
      </c>
      <c r="F8" s="19" t="s">
        <v>90</v>
      </c>
      <c r="G8" s="7">
        <v>98132531</v>
      </c>
      <c r="H8" s="25">
        <v>2.14</v>
      </c>
      <c r="I8" s="17" t="s">
        <v>331</v>
      </c>
      <c r="J8" s="43">
        <v>1</v>
      </c>
      <c r="K8" s="43">
        <v>3</v>
      </c>
      <c r="L8" s="44" t="s">
        <v>83</v>
      </c>
      <c r="M8" s="45">
        <v>2</v>
      </c>
      <c r="N8" s="46">
        <v>0</v>
      </c>
      <c r="O8" s="47">
        <v>0</v>
      </c>
      <c r="P8" s="7"/>
      <c r="Q8" s="7"/>
    </row>
    <row r="9" spans="1:196" s="4" customFormat="1" x14ac:dyDescent="0.25">
      <c r="A9" s="71">
        <v>3</v>
      </c>
      <c r="B9" s="17" t="s">
        <v>90</v>
      </c>
      <c r="C9" s="32" t="s">
        <v>93</v>
      </c>
      <c r="D9" s="33" t="s">
        <v>94</v>
      </c>
      <c r="E9" s="84">
        <v>62</v>
      </c>
      <c r="F9" s="19" t="s">
        <v>90</v>
      </c>
      <c r="G9" s="7"/>
      <c r="H9" s="25">
        <v>1.28</v>
      </c>
      <c r="I9" s="17" t="s">
        <v>82</v>
      </c>
      <c r="J9" s="43">
        <v>0</v>
      </c>
      <c r="K9" s="43">
        <v>2</v>
      </c>
      <c r="L9" s="44"/>
      <c r="M9" s="45">
        <v>0</v>
      </c>
      <c r="N9" s="46">
        <v>1</v>
      </c>
      <c r="O9" s="47">
        <v>0</v>
      </c>
      <c r="P9" s="7"/>
      <c r="Q9" s="7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 t="s">
        <v>327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</row>
    <row r="10" spans="1:196" x14ac:dyDescent="0.25">
      <c r="A10" s="71">
        <v>4</v>
      </c>
      <c r="B10" s="17" t="s">
        <v>90</v>
      </c>
      <c r="C10" s="17" t="s">
        <v>95</v>
      </c>
      <c r="D10" s="33" t="s">
        <v>96</v>
      </c>
      <c r="E10" s="27">
        <v>57</v>
      </c>
      <c r="F10" s="19" t="s">
        <v>90</v>
      </c>
      <c r="G10" s="7">
        <v>91667939</v>
      </c>
      <c r="H10" s="25">
        <v>2.1349999999999998</v>
      </c>
      <c r="I10" s="17" t="s">
        <v>82</v>
      </c>
      <c r="J10" s="43">
        <v>0</v>
      </c>
      <c r="K10" s="43">
        <v>3</v>
      </c>
      <c r="L10" s="44" t="s">
        <v>83</v>
      </c>
      <c r="M10" s="45">
        <v>0</v>
      </c>
      <c r="N10" s="46">
        <v>1</v>
      </c>
      <c r="O10" s="47">
        <v>0</v>
      </c>
      <c r="P10" s="4"/>
      <c r="Q10" s="4"/>
    </row>
    <row r="11" spans="1:196" x14ac:dyDescent="0.25">
      <c r="A11" s="71">
        <v>5</v>
      </c>
      <c r="B11" s="17" t="s">
        <v>90</v>
      </c>
      <c r="C11" s="17" t="s">
        <v>97</v>
      </c>
      <c r="D11" s="18" t="s">
        <v>98</v>
      </c>
      <c r="E11" s="27">
        <v>43</v>
      </c>
      <c r="F11" s="19" t="s">
        <v>90</v>
      </c>
      <c r="G11" s="64">
        <v>77712307</v>
      </c>
      <c r="H11" s="25">
        <v>1.48</v>
      </c>
      <c r="I11" s="17" t="s">
        <v>82</v>
      </c>
      <c r="J11" s="43">
        <v>2</v>
      </c>
      <c r="K11" s="43">
        <v>2</v>
      </c>
      <c r="L11" s="44" t="s">
        <v>83</v>
      </c>
      <c r="M11" s="45">
        <v>1</v>
      </c>
      <c r="N11" s="46">
        <v>1</v>
      </c>
      <c r="O11" s="47">
        <v>0</v>
      </c>
      <c r="P11" s="4"/>
      <c r="Q11" s="4"/>
    </row>
    <row r="12" spans="1:196" ht="14.25" customHeight="1" x14ac:dyDescent="0.25">
      <c r="A12" s="71">
        <v>6</v>
      </c>
      <c r="B12" s="17" t="s">
        <v>90</v>
      </c>
      <c r="C12" s="17" t="s">
        <v>99</v>
      </c>
      <c r="D12" s="18" t="s">
        <v>100</v>
      </c>
      <c r="E12" s="27">
        <v>58</v>
      </c>
      <c r="F12" s="17" t="s">
        <v>90</v>
      </c>
      <c r="G12" s="7"/>
      <c r="H12" s="25">
        <v>2</v>
      </c>
      <c r="I12" s="17" t="s">
        <v>82</v>
      </c>
      <c r="J12" s="43">
        <v>0</v>
      </c>
      <c r="K12" s="43">
        <v>4</v>
      </c>
      <c r="L12" s="44"/>
      <c r="M12" s="51">
        <v>3</v>
      </c>
      <c r="N12" s="46">
        <v>0</v>
      </c>
      <c r="O12" s="47">
        <v>0</v>
      </c>
      <c r="P12" s="4"/>
      <c r="Q12" s="4"/>
    </row>
    <row r="13" spans="1:196" x14ac:dyDescent="0.25">
      <c r="A13" s="71">
        <v>7</v>
      </c>
      <c r="B13" s="17" t="s">
        <v>90</v>
      </c>
      <c r="C13" s="32" t="s">
        <v>329</v>
      </c>
      <c r="D13" s="18" t="s">
        <v>101</v>
      </c>
      <c r="E13" s="17">
        <v>58</v>
      </c>
      <c r="F13" s="34" t="s">
        <v>102</v>
      </c>
      <c r="G13" s="7"/>
      <c r="H13" s="25">
        <v>1.61</v>
      </c>
      <c r="I13" s="17" t="s">
        <v>82</v>
      </c>
      <c r="J13" s="43">
        <v>0</v>
      </c>
      <c r="K13" s="43">
        <v>3</v>
      </c>
      <c r="L13" s="44" t="s">
        <v>83</v>
      </c>
      <c r="M13" s="45">
        <v>0</v>
      </c>
      <c r="N13" s="46">
        <v>1</v>
      </c>
      <c r="O13" s="47">
        <v>0</v>
      </c>
      <c r="P13" s="4"/>
      <c r="Q13" s="4"/>
    </row>
    <row r="14" spans="1:196" x14ac:dyDescent="0.25">
      <c r="A14" s="71">
        <v>8</v>
      </c>
      <c r="B14" s="17" t="s">
        <v>90</v>
      </c>
      <c r="C14" s="32" t="s">
        <v>103</v>
      </c>
      <c r="D14" s="18" t="s">
        <v>104</v>
      </c>
      <c r="E14" s="27">
        <v>39</v>
      </c>
      <c r="F14" s="19" t="s">
        <v>90</v>
      </c>
      <c r="G14" s="7"/>
      <c r="H14" s="25">
        <v>1.6</v>
      </c>
      <c r="I14" s="17" t="s">
        <v>82</v>
      </c>
      <c r="J14" s="43">
        <v>0</v>
      </c>
      <c r="K14" s="43">
        <v>3</v>
      </c>
      <c r="L14" s="44"/>
      <c r="M14" s="45">
        <v>1</v>
      </c>
      <c r="N14" s="46">
        <v>0</v>
      </c>
      <c r="O14" s="47">
        <v>0</v>
      </c>
      <c r="P14" s="4"/>
      <c r="Q14" s="4"/>
    </row>
    <row r="15" spans="1:196" x14ac:dyDescent="0.25">
      <c r="A15" s="71">
        <v>9</v>
      </c>
      <c r="B15" s="17" t="s">
        <v>90</v>
      </c>
      <c r="C15" s="17" t="s">
        <v>105</v>
      </c>
      <c r="D15" s="18" t="s">
        <v>106</v>
      </c>
      <c r="E15" s="27">
        <v>48</v>
      </c>
      <c r="F15" s="19" t="s">
        <v>90</v>
      </c>
      <c r="G15" s="7">
        <v>94677348</v>
      </c>
      <c r="H15" s="25">
        <v>1.1499999999999999</v>
      </c>
      <c r="I15" s="17" t="s">
        <v>82</v>
      </c>
      <c r="J15" s="43">
        <v>1</v>
      </c>
      <c r="K15" s="43">
        <v>2</v>
      </c>
      <c r="L15" s="44" t="s">
        <v>83</v>
      </c>
      <c r="M15" s="45">
        <v>2</v>
      </c>
      <c r="N15" s="46">
        <v>0</v>
      </c>
      <c r="O15" s="47">
        <v>0</v>
      </c>
      <c r="P15" s="4"/>
      <c r="Q15" s="4"/>
    </row>
    <row r="16" spans="1:196" x14ac:dyDescent="0.25">
      <c r="A16" s="71">
        <v>10</v>
      </c>
      <c r="B16" s="17" t="s">
        <v>90</v>
      </c>
      <c r="C16" s="17" t="s">
        <v>107</v>
      </c>
      <c r="D16" s="18" t="s">
        <v>108</v>
      </c>
      <c r="E16" s="27">
        <v>44</v>
      </c>
      <c r="F16" s="17" t="s">
        <v>90</v>
      </c>
      <c r="G16" s="7"/>
      <c r="H16" s="25">
        <v>1.81</v>
      </c>
      <c r="I16" s="17" t="s">
        <v>82</v>
      </c>
      <c r="J16" s="43">
        <v>1</v>
      </c>
      <c r="K16" s="43">
        <v>4</v>
      </c>
      <c r="L16" s="44"/>
      <c r="M16" s="45">
        <v>2</v>
      </c>
      <c r="N16" s="46">
        <v>0</v>
      </c>
      <c r="O16" s="47">
        <v>0</v>
      </c>
      <c r="P16" s="4"/>
      <c r="Q16" s="4"/>
    </row>
    <row r="17" spans="1:17" x14ac:dyDescent="0.25">
      <c r="A17" s="71">
        <v>11</v>
      </c>
      <c r="B17" s="17" t="s">
        <v>90</v>
      </c>
      <c r="C17" s="17" t="s">
        <v>109</v>
      </c>
      <c r="D17" s="18" t="s">
        <v>110</v>
      </c>
      <c r="E17" s="27">
        <v>39</v>
      </c>
      <c r="F17" s="19" t="s">
        <v>90</v>
      </c>
      <c r="G17" s="7">
        <v>77952561</v>
      </c>
      <c r="H17" s="25">
        <v>2.5499999999999998</v>
      </c>
      <c r="I17" s="17" t="s">
        <v>82</v>
      </c>
      <c r="J17" s="43">
        <v>0</v>
      </c>
      <c r="K17" s="43">
        <v>2</v>
      </c>
      <c r="L17" s="44" t="s">
        <v>83</v>
      </c>
      <c r="M17" s="45">
        <v>2</v>
      </c>
      <c r="N17" s="46">
        <v>0</v>
      </c>
      <c r="O17" s="47">
        <v>0</v>
      </c>
      <c r="P17" s="4"/>
      <c r="Q17" s="4"/>
    </row>
    <row r="18" spans="1:17" x14ac:dyDescent="0.25">
      <c r="A18" s="71">
        <v>12</v>
      </c>
      <c r="B18" s="17" t="s">
        <v>90</v>
      </c>
      <c r="C18" s="17" t="s">
        <v>111</v>
      </c>
      <c r="D18" s="18">
        <v>2902610440</v>
      </c>
      <c r="E18" s="27">
        <v>58</v>
      </c>
      <c r="F18" s="19" t="s">
        <v>90</v>
      </c>
      <c r="G18" s="7"/>
      <c r="H18" s="25">
        <v>1</v>
      </c>
      <c r="I18" s="82" t="s">
        <v>331</v>
      </c>
      <c r="J18" s="43">
        <v>1</v>
      </c>
      <c r="K18" s="43">
        <v>3</v>
      </c>
      <c r="L18" s="44"/>
      <c r="M18" s="45">
        <v>2</v>
      </c>
      <c r="N18" s="46">
        <v>1</v>
      </c>
      <c r="O18" s="47">
        <v>0</v>
      </c>
      <c r="P18" s="4"/>
      <c r="Q18" s="4"/>
    </row>
    <row r="19" spans="1:17" x14ac:dyDescent="0.25">
      <c r="A19" s="71">
        <v>13</v>
      </c>
      <c r="B19" s="17" t="s">
        <v>90</v>
      </c>
      <c r="C19" s="17" t="s">
        <v>112</v>
      </c>
      <c r="D19" s="18" t="s">
        <v>113</v>
      </c>
      <c r="E19" s="27">
        <v>25</v>
      </c>
      <c r="F19" s="19" t="s">
        <v>90</v>
      </c>
      <c r="G19" s="7">
        <v>77909238</v>
      </c>
      <c r="H19" s="25">
        <v>1.68</v>
      </c>
      <c r="I19" s="17" t="s">
        <v>82</v>
      </c>
      <c r="J19" s="43">
        <v>2</v>
      </c>
      <c r="K19" s="43">
        <v>2</v>
      </c>
      <c r="L19" s="44" t="s">
        <v>83</v>
      </c>
      <c r="M19" s="45">
        <v>0</v>
      </c>
      <c r="N19" s="46">
        <v>0</v>
      </c>
      <c r="O19" s="47">
        <v>0</v>
      </c>
      <c r="P19" s="4"/>
      <c r="Q19" s="4"/>
    </row>
    <row r="20" spans="1:17" x14ac:dyDescent="0.25">
      <c r="A20" s="71">
        <v>14</v>
      </c>
      <c r="B20" s="17" t="s">
        <v>90</v>
      </c>
      <c r="C20" s="17" t="s">
        <v>114</v>
      </c>
      <c r="D20" s="18" t="s">
        <v>115</v>
      </c>
      <c r="E20" s="27">
        <v>56</v>
      </c>
      <c r="F20" s="19" t="s">
        <v>90</v>
      </c>
      <c r="G20" s="7"/>
      <c r="H20" s="25">
        <v>2.2029999999999998</v>
      </c>
      <c r="I20" s="17" t="s">
        <v>82</v>
      </c>
      <c r="J20" s="43">
        <v>0</v>
      </c>
      <c r="K20" s="43">
        <v>1</v>
      </c>
      <c r="L20" s="44" t="s">
        <v>221</v>
      </c>
      <c r="M20" s="45">
        <v>1</v>
      </c>
      <c r="N20" s="46">
        <v>0</v>
      </c>
      <c r="O20" s="47">
        <v>0</v>
      </c>
      <c r="P20" s="4"/>
      <c r="Q20" s="4"/>
    </row>
    <row r="21" spans="1:17" x14ac:dyDescent="0.25">
      <c r="A21" s="71">
        <v>15</v>
      </c>
      <c r="B21" s="17" t="s">
        <v>90</v>
      </c>
      <c r="C21" s="17" t="s">
        <v>116</v>
      </c>
      <c r="D21" s="18" t="s">
        <v>117</v>
      </c>
      <c r="E21" s="27">
        <v>44</v>
      </c>
      <c r="F21" s="17" t="s">
        <v>90</v>
      </c>
      <c r="G21" s="7"/>
      <c r="H21" s="25">
        <v>2.0379999999999998</v>
      </c>
      <c r="I21" s="17" t="s">
        <v>82</v>
      </c>
      <c r="J21" s="43">
        <v>0</v>
      </c>
      <c r="K21" s="43">
        <v>2</v>
      </c>
      <c r="L21" s="44"/>
      <c r="M21" s="45">
        <v>1</v>
      </c>
      <c r="N21" s="46">
        <v>0</v>
      </c>
      <c r="O21" s="47">
        <v>0</v>
      </c>
      <c r="P21" s="4"/>
      <c r="Q21" s="4"/>
    </row>
    <row r="22" spans="1:17" x14ac:dyDescent="0.25">
      <c r="A22" s="71">
        <v>16</v>
      </c>
      <c r="B22" s="17" t="s">
        <v>90</v>
      </c>
      <c r="C22" s="17" t="s">
        <v>118</v>
      </c>
      <c r="D22" s="18" t="s">
        <v>119</v>
      </c>
      <c r="E22" s="27">
        <v>44</v>
      </c>
      <c r="F22" s="19" t="s">
        <v>90</v>
      </c>
      <c r="G22" s="7">
        <v>93979344</v>
      </c>
      <c r="H22" s="25">
        <v>1.84</v>
      </c>
      <c r="I22" s="17" t="s">
        <v>82</v>
      </c>
      <c r="J22" s="43">
        <v>0</v>
      </c>
      <c r="K22" s="43">
        <v>1</v>
      </c>
      <c r="L22" s="44" t="s">
        <v>83</v>
      </c>
      <c r="M22" s="45">
        <v>0</v>
      </c>
      <c r="N22" s="46">
        <v>0</v>
      </c>
      <c r="O22" s="47">
        <v>0</v>
      </c>
      <c r="P22" s="4"/>
      <c r="Q22" s="4"/>
    </row>
    <row r="23" spans="1:17" x14ac:dyDescent="0.25">
      <c r="A23" s="71">
        <v>17</v>
      </c>
      <c r="B23" s="17" t="s">
        <v>90</v>
      </c>
      <c r="C23" s="17" t="s">
        <v>120</v>
      </c>
      <c r="D23" s="18" t="s">
        <v>121</v>
      </c>
      <c r="E23" s="17">
        <v>46</v>
      </c>
      <c r="F23" s="17" t="s">
        <v>90</v>
      </c>
      <c r="G23" s="7"/>
      <c r="H23" s="25">
        <v>1.98</v>
      </c>
      <c r="I23" s="17" t="s">
        <v>82</v>
      </c>
      <c r="J23" s="43">
        <v>0</v>
      </c>
      <c r="K23" s="43">
        <v>2</v>
      </c>
      <c r="L23" s="52"/>
      <c r="M23" s="53">
        <v>2</v>
      </c>
      <c r="N23" s="54">
        <v>0</v>
      </c>
      <c r="O23" s="55">
        <v>0</v>
      </c>
      <c r="P23" s="4"/>
      <c r="Q23" s="4"/>
    </row>
    <row r="24" spans="1:17" x14ac:dyDescent="0.25">
      <c r="A24" s="71">
        <v>18</v>
      </c>
      <c r="B24" s="17" t="s">
        <v>90</v>
      </c>
      <c r="C24" s="17" t="s">
        <v>122</v>
      </c>
      <c r="D24" s="18" t="s">
        <v>123</v>
      </c>
      <c r="E24" s="27">
        <v>57</v>
      </c>
      <c r="F24" s="17" t="s">
        <v>90</v>
      </c>
      <c r="G24" s="7">
        <v>98134555</v>
      </c>
      <c r="H24" s="25">
        <v>1.39</v>
      </c>
      <c r="I24" s="82" t="s">
        <v>331</v>
      </c>
      <c r="J24" s="43">
        <v>2</v>
      </c>
      <c r="K24" s="43">
        <v>3</v>
      </c>
      <c r="L24" s="44"/>
      <c r="M24" s="51">
        <v>1</v>
      </c>
      <c r="N24" s="46">
        <v>0</v>
      </c>
      <c r="O24" s="47">
        <v>0</v>
      </c>
      <c r="P24" s="4"/>
      <c r="Q24" s="4"/>
    </row>
    <row r="25" spans="1:17" x14ac:dyDescent="0.25">
      <c r="A25" s="71">
        <v>19</v>
      </c>
      <c r="B25" s="36" t="s">
        <v>90</v>
      </c>
      <c r="C25" s="17" t="s">
        <v>124</v>
      </c>
      <c r="D25" s="37" t="s">
        <v>125</v>
      </c>
      <c r="E25" s="38">
        <v>60</v>
      </c>
      <c r="F25" s="36" t="s">
        <v>90</v>
      </c>
      <c r="G25" s="76" t="s">
        <v>347</v>
      </c>
      <c r="H25" s="56">
        <v>0.83</v>
      </c>
      <c r="I25" s="17" t="s">
        <v>84</v>
      </c>
      <c r="J25" s="57">
        <v>1</v>
      </c>
      <c r="K25" s="57">
        <v>6</v>
      </c>
      <c r="L25" s="58"/>
      <c r="M25" s="51">
        <v>2</v>
      </c>
      <c r="N25" s="46">
        <v>0</v>
      </c>
      <c r="O25" s="47">
        <v>0</v>
      </c>
      <c r="P25" s="4"/>
      <c r="Q25" s="4"/>
    </row>
    <row r="26" spans="1:17" x14ac:dyDescent="0.25">
      <c r="A26" s="71">
        <v>20</v>
      </c>
      <c r="B26" s="17" t="s">
        <v>90</v>
      </c>
      <c r="C26" s="17" t="s">
        <v>126</v>
      </c>
      <c r="D26" s="18" t="s">
        <v>127</v>
      </c>
      <c r="E26" s="27">
        <v>46</v>
      </c>
      <c r="F26" s="19" t="s">
        <v>90</v>
      </c>
      <c r="G26" s="7">
        <v>77730420</v>
      </c>
      <c r="H26" s="25">
        <v>0.28999999999999998</v>
      </c>
      <c r="I26" s="17" t="s">
        <v>82</v>
      </c>
      <c r="J26" s="43">
        <v>0</v>
      </c>
      <c r="K26" s="43">
        <v>1</v>
      </c>
      <c r="L26" s="44" t="s">
        <v>83</v>
      </c>
      <c r="M26" s="45">
        <v>0</v>
      </c>
      <c r="N26" s="46">
        <v>1</v>
      </c>
      <c r="O26" s="47">
        <v>0</v>
      </c>
      <c r="P26" s="4"/>
      <c r="Q26" s="4"/>
    </row>
    <row r="27" spans="1:17" x14ac:dyDescent="0.25">
      <c r="A27" s="71">
        <v>21</v>
      </c>
      <c r="B27" s="17" t="s">
        <v>90</v>
      </c>
      <c r="C27" s="17" t="s">
        <v>128</v>
      </c>
      <c r="D27" s="18" t="s">
        <v>129</v>
      </c>
      <c r="E27" s="27">
        <v>36</v>
      </c>
      <c r="F27" s="17" t="s">
        <v>90</v>
      </c>
      <c r="G27" s="7"/>
      <c r="H27" s="25">
        <v>0.84</v>
      </c>
      <c r="I27" s="17" t="s">
        <v>82</v>
      </c>
      <c r="J27" s="43">
        <v>0</v>
      </c>
      <c r="K27" s="43">
        <v>4</v>
      </c>
      <c r="L27" s="44"/>
      <c r="M27" s="45">
        <v>2</v>
      </c>
      <c r="N27" s="46">
        <v>0</v>
      </c>
      <c r="O27" s="47">
        <v>0</v>
      </c>
      <c r="P27" s="4"/>
      <c r="Q27" s="4"/>
    </row>
    <row r="28" spans="1:17" x14ac:dyDescent="0.25">
      <c r="A28" s="71">
        <v>22</v>
      </c>
      <c r="B28" s="17" t="s">
        <v>90</v>
      </c>
      <c r="C28" s="17" t="s">
        <v>130</v>
      </c>
      <c r="D28" s="18" t="s">
        <v>131</v>
      </c>
      <c r="E28" s="27">
        <v>46</v>
      </c>
      <c r="F28" s="19" t="s">
        <v>90</v>
      </c>
      <c r="G28" s="7">
        <v>93245691</v>
      </c>
      <c r="H28" s="25">
        <v>1.68</v>
      </c>
      <c r="I28" s="17" t="s">
        <v>82</v>
      </c>
      <c r="J28" s="43">
        <v>1</v>
      </c>
      <c r="K28" s="43">
        <v>2</v>
      </c>
      <c r="L28" s="44" t="s">
        <v>221</v>
      </c>
      <c r="M28" s="45">
        <v>1</v>
      </c>
      <c r="N28" s="46">
        <v>0</v>
      </c>
      <c r="O28" s="47">
        <v>0</v>
      </c>
      <c r="P28" s="4"/>
      <c r="Q28" s="4"/>
    </row>
    <row r="29" spans="1:17" x14ac:dyDescent="0.25">
      <c r="A29" s="71">
        <v>23</v>
      </c>
      <c r="B29" s="17" t="s">
        <v>90</v>
      </c>
      <c r="C29" s="32" t="s">
        <v>132</v>
      </c>
      <c r="D29" s="18" t="s">
        <v>133</v>
      </c>
      <c r="E29" s="27">
        <v>60</v>
      </c>
      <c r="F29" s="17" t="s">
        <v>90</v>
      </c>
      <c r="G29" s="7"/>
      <c r="H29" s="25">
        <v>2.89</v>
      </c>
      <c r="I29" s="17" t="s">
        <v>82</v>
      </c>
      <c r="J29" s="43">
        <v>1</v>
      </c>
      <c r="K29" s="43">
        <v>2</v>
      </c>
      <c r="L29" s="44"/>
      <c r="M29" s="51">
        <v>3</v>
      </c>
      <c r="N29" s="46">
        <v>0</v>
      </c>
      <c r="O29" s="47">
        <v>0</v>
      </c>
      <c r="P29" s="4"/>
      <c r="Q29" s="4"/>
    </row>
    <row r="30" spans="1:17" x14ac:dyDescent="0.25">
      <c r="A30" s="71">
        <v>24</v>
      </c>
      <c r="B30" s="17" t="s">
        <v>90</v>
      </c>
      <c r="C30" s="39" t="s">
        <v>134</v>
      </c>
      <c r="D30" s="33" t="s">
        <v>135</v>
      </c>
      <c r="E30" s="27">
        <v>46</v>
      </c>
      <c r="F30" s="19" t="s">
        <v>90</v>
      </c>
      <c r="G30" s="7">
        <v>77282125</v>
      </c>
      <c r="H30" s="25">
        <v>2.2799999999999998</v>
      </c>
      <c r="I30" s="17" t="s">
        <v>82</v>
      </c>
      <c r="J30" s="43">
        <v>0</v>
      </c>
      <c r="K30" s="43">
        <v>3</v>
      </c>
      <c r="L30" s="44" t="s">
        <v>83</v>
      </c>
      <c r="M30" s="45">
        <v>2</v>
      </c>
      <c r="N30" s="46">
        <v>0</v>
      </c>
      <c r="O30" s="47">
        <v>0</v>
      </c>
      <c r="P30" s="4"/>
      <c r="Q30" s="4"/>
    </row>
    <row r="31" spans="1:17" x14ac:dyDescent="0.25">
      <c r="A31" s="71">
        <v>25</v>
      </c>
      <c r="B31" s="17" t="s">
        <v>90</v>
      </c>
      <c r="C31" s="17" t="s">
        <v>136</v>
      </c>
      <c r="D31" s="18" t="s">
        <v>137</v>
      </c>
      <c r="E31" s="27">
        <v>42</v>
      </c>
      <c r="F31" s="19" t="s">
        <v>90</v>
      </c>
      <c r="G31" s="78">
        <v>93437160</v>
      </c>
      <c r="H31" s="25">
        <v>1.91</v>
      </c>
      <c r="I31" s="17" t="s">
        <v>82</v>
      </c>
      <c r="J31" s="43">
        <v>1</v>
      </c>
      <c r="K31" s="43">
        <v>2</v>
      </c>
      <c r="L31" s="44" t="s">
        <v>83</v>
      </c>
      <c r="M31" s="45">
        <v>2</v>
      </c>
      <c r="N31" s="46">
        <v>0</v>
      </c>
      <c r="O31" s="47">
        <v>0</v>
      </c>
      <c r="P31" s="4"/>
      <c r="Q31" s="4"/>
    </row>
    <row r="32" spans="1:17" x14ac:dyDescent="0.25">
      <c r="A32" s="71">
        <v>26</v>
      </c>
      <c r="B32" s="17" t="s">
        <v>90</v>
      </c>
      <c r="C32" s="17" t="s">
        <v>138</v>
      </c>
      <c r="D32" s="18" t="s">
        <v>139</v>
      </c>
      <c r="E32" s="27">
        <v>36</v>
      </c>
      <c r="F32" s="19" t="s">
        <v>90</v>
      </c>
      <c r="G32" s="7"/>
      <c r="H32" s="25">
        <v>0.75</v>
      </c>
      <c r="I32" s="17" t="s">
        <v>82</v>
      </c>
      <c r="J32" s="43">
        <v>0</v>
      </c>
      <c r="K32" s="43">
        <v>3</v>
      </c>
      <c r="L32" s="44"/>
      <c r="M32" s="45"/>
      <c r="N32" s="46">
        <v>0</v>
      </c>
      <c r="O32" s="47">
        <v>0</v>
      </c>
      <c r="P32" s="4"/>
      <c r="Q32" s="4"/>
    </row>
    <row r="33" spans="1:17" x14ac:dyDescent="0.25">
      <c r="A33" s="71">
        <v>27</v>
      </c>
      <c r="B33" s="17" t="s">
        <v>90</v>
      </c>
      <c r="C33" s="17" t="s">
        <v>140</v>
      </c>
      <c r="D33" s="18" t="s">
        <v>141</v>
      </c>
      <c r="E33" s="17">
        <v>38</v>
      </c>
      <c r="F33" s="34" t="s">
        <v>102</v>
      </c>
      <c r="G33" s="7">
        <v>77183708</v>
      </c>
      <c r="H33" s="25">
        <v>2.36</v>
      </c>
      <c r="I33" s="17" t="s">
        <v>82</v>
      </c>
      <c r="J33" s="43">
        <v>0</v>
      </c>
      <c r="K33" s="43">
        <v>5</v>
      </c>
      <c r="L33" s="44"/>
      <c r="M33" s="45">
        <v>0</v>
      </c>
      <c r="N33" s="46">
        <v>2</v>
      </c>
      <c r="O33" s="47">
        <v>0</v>
      </c>
      <c r="P33" s="4"/>
      <c r="Q33" s="4"/>
    </row>
    <row r="34" spans="1:17" x14ac:dyDescent="0.25">
      <c r="A34" s="71">
        <v>28</v>
      </c>
      <c r="B34" s="28" t="s">
        <v>90</v>
      </c>
      <c r="C34" s="17" t="s">
        <v>142</v>
      </c>
      <c r="D34" s="29" t="s">
        <v>143</v>
      </c>
      <c r="E34" s="30">
        <v>59</v>
      </c>
      <c r="F34" s="28" t="s">
        <v>90</v>
      </c>
      <c r="G34" s="7">
        <v>94790211</v>
      </c>
      <c r="H34" s="48">
        <v>2.0499999999999998</v>
      </c>
      <c r="I34" s="17" t="s">
        <v>82</v>
      </c>
      <c r="J34" s="49">
        <v>1</v>
      </c>
      <c r="K34" s="49">
        <v>3</v>
      </c>
      <c r="L34" s="50"/>
      <c r="M34" s="51">
        <v>2</v>
      </c>
      <c r="N34" s="46">
        <v>0</v>
      </c>
      <c r="O34" s="47">
        <v>0</v>
      </c>
      <c r="P34" s="4"/>
      <c r="Q34" s="4"/>
    </row>
    <row r="35" spans="1:17" x14ac:dyDescent="0.25">
      <c r="A35" s="71">
        <v>29</v>
      </c>
      <c r="B35" s="17" t="s">
        <v>90</v>
      </c>
      <c r="C35" s="17" t="s">
        <v>144</v>
      </c>
      <c r="D35" s="18" t="s">
        <v>145</v>
      </c>
      <c r="E35" s="27">
        <v>49</v>
      </c>
      <c r="F35" s="19" t="s">
        <v>90</v>
      </c>
      <c r="G35" s="7">
        <v>93816822</v>
      </c>
      <c r="H35" s="25">
        <v>1.7</v>
      </c>
      <c r="I35" s="17" t="s">
        <v>222</v>
      </c>
      <c r="J35" s="43">
        <v>0</v>
      </c>
      <c r="K35" s="43">
        <v>2</v>
      </c>
      <c r="L35" s="44" t="s">
        <v>83</v>
      </c>
      <c r="M35" s="45">
        <v>1</v>
      </c>
      <c r="N35" s="46">
        <v>0</v>
      </c>
      <c r="O35" s="47">
        <v>0</v>
      </c>
      <c r="P35" s="4"/>
      <c r="Q35" s="4"/>
    </row>
    <row r="36" spans="1:17" x14ac:dyDescent="0.25">
      <c r="A36" s="71">
        <v>30</v>
      </c>
      <c r="B36" s="17" t="s">
        <v>90</v>
      </c>
      <c r="C36" s="27" t="s">
        <v>146</v>
      </c>
      <c r="D36" s="18" t="s">
        <v>147</v>
      </c>
      <c r="E36" s="35">
        <v>59</v>
      </c>
      <c r="F36" s="19" t="s">
        <v>90</v>
      </c>
      <c r="G36" s="7"/>
      <c r="H36" s="25">
        <v>2.58</v>
      </c>
      <c r="I36" s="17" t="s">
        <v>82</v>
      </c>
      <c r="J36" s="43">
        <v>0</v>
      </c>
      <c r="K36" s="43">
        <v>4</v>
      </c>
      <c r="L36" s="44"/>
      <c r="M36" s="45">
        <v>2</v>
      </c>
      <c r="N36" s="46">
        <v>1</v>
      </c>
      <c r="O36" s="47">
        <v>0</v>
      </c>
      <c r="P36" s="4"/>
      <c r="Q36" s="4"/>
    </row>
    <row r="37" spans="1:17" x14ac:dyDescent="0.25">
      <c r="A37" s="71">
        <v>31</v>
      </c>
      <c r="B37" s="17" t="s">
        <v>90</v>
      </c>
      <c r="C37" s="17" t="s">
        <v>148</v>
      </c>
      <c r="D37" s="18" t="s">
        <v>149</v>
      </c>
      <c r="E37" s="27">
        <v>58</v>
      </c>
      <c r="F37" s="19" t="s">
        <v>90</v>
      </c>
      <c r="G37" s="76" t="s">
        <v>332</v>
      </c>
      <c r="H37" s="25">
        <v>2.95</v>
      </c>
      <c r="I37" s="17" t="s">
        <v>330</v>
      </c>
      <c r="J37" s="43">
        <v>0</v>
      </c>
      <c r="K37" s="43">
        <v>3</v>
      </c>
      <c r="L37" s="44"/>
      <c r="M37" s="45">
        <v>2</v>
      </c>
      <c r="N37" s="46">
        <v>1</v>
      </c>
      <c r="O37" s="47">
        <v>0</v>
      </c>
      <c r="P37" s="4"/>
      <c r="Q37" s="4"/>
    </row>
    <row r="38" spans="1:17" x14ac:dyDescent="0.25">
      <c r="A38" s="71">
        <v>32</v>
      </c>
      <c r="B38" s="17" t="s">
        <v>90</v>
      </c>
      <c r="C38" s="17" t="s">
        <v>150</v>
      </c>
      <c r="D38" s="18" t="s">
        <v>151</v>
      </c>
      <c r="E38" s="27">
        <v>60</v>
      </c>
      <c r="F38" s="17" t="s">
        <v>90</v>
      </c>
      <c r="G38" s="7">
        <v>99151152</v>
      </c>
      <c r="H38" s="25">
        <v>0.97</v>
      </c>
      <c r="I38" s="17" t="s">
        <v>82</v>
      </c>
      <c r="J38" s="43">
        <v>1</v>
      </c>
      <c r="K38" s="43">
        <v>3</v>
      </c>
      <c r="L38" s="44"/>
      <c r="M38" s="51">
        <v>2</v>
      </c>
      <c r="N38" s="46">
        <v>0</v>
      </c>
      <c r="O38" s="47">
        <v>0</v>
      </c>
      <c r="P38" s="4"/>
      <c r="Q38" s="4"/>
    </row>
    <row r="39" spans="1:17" x14ac:dyDescent="0.25">
      <c r="A39" s="71">
        <v>33</v>
      </c>
      <c r="B39" s="17" t="s">
        <v>90</v>
      </c>
      <c r="C39" s="17" t="s">
        <v>152</v>
      </c>
      <c r="D39" s="18" t="s">
        <v>153</v>
      </c>
      <c r="E39" s="27">
        <v>42</v>
      </c>
      <c r="F39" s="19" t="s">
        <v>90</v>
      </c>
      <c r="G39" s="7">
        <v>77929796</v>
      </c>
      <c r="H39" s="25">
        <v>1.57</v>
      </c>
      <c r="I39" s="17" t="s">
        <v>82</v>
      </c>
      <c r="J39" s="43">
        <v>0</v>
      </c>
      <c r="K39" s="43">
        <v>2</v>
      </c>
      <c r="L39" s="44"/>
      <c r="M39" s="45">
        <v>3</v>
      </c>
      <c r="N39" s="46">
        <v>0</v>
      </c>
      <c r="O39" s="47">
        <v>0</v>
      </c>
      <c r="P39" s="4"/>
      <c r="Q39" s="4"/>
    </row>
    <row r="40" spans="1:17" x14ac:dyDescent="0.25">
      <c r="A40" s="71">
        <v>34</v>
      </c>
      <c r="B40" s="17" t="s">
        <v>90</v>
      </c>
      <c r="C40" s="17" t="s">
        <v>154</v>
      </c>
      <c r="D40" s="18" t="s">
        <v>155</v>
      </c>
      <c r="E40" s="27">
        <v>51</v>
      </c>
      <c r="F40" s="19" t="s">
        <v>90</v>
      </c>
      <c r="G40" s="7"/>
      <c r="H40" s="25">
        <v>1.79</v>
      </c>
      <c r="I40" s="17" t="s">
        <v>82</v>
      </c>
      <c r="J40" s="43">
        <v>0</v>
      </c>
      <c r="K40" s="43">
        <v>3</v>
      </c>
      <c r="L40" s="44" t="s">
        <v>221</v>
      </c>
      <c r="M40" s="45">
        <v>3</v>
      </c>
      <c r="N40" s="46">
        <v>0</v>
      </c>
      <c r="O40" s="47">
        <v>0</v>
      </c>
      <c r="P40" s="4"/>
      <c r="Q40" s="4"/>
    </row>
    <row r="41" spans="1:17" x14ac:dyDescent="0.25">
      <c r="A41" s="71">
        <v>35</v>
      </c>
      <c r="B41" s="17" t="s">
        <v>90</v>
      </c>
      <c r="C41" s="39" t="s">
        <v>156</v>
      </c>
      <c r="D41" s="18" t="s">
        <v>157</v>
      </c>
      <c r="E41" s="27">
        <v>59</v>
      </c>
      <c r="F41" s="19" t="s">
        <v>90</v>
      </c>
      <c r="G41" s="7"/>
      <c r="H41" s="25">
        <v>1</v>
      </c>
      <c r="I41" s="17" t="s">
        <v>82</v>
      </c>
      <c r="J41" s="43">
        <v>1</v>
      </c>
      <c r="K41" s="43">
        <v>2</v>
      </c>
      <c r="L41" s="44" t="s">
        <v>221</v>
      </c>
      <c r="M41" s="45">
        <v>0</v>
      </c>
      <c r="N41" s="46">
        <v>0</v>
      </c>
      <c r="O41" s="47">
        <v>0</v>
      </c>
      <c r="P41" s="4"/>
      <c r="Q41" s="4"/>
    </row>
    <row r="42" spans="1:17" x14ac:dyDescent="0.25">
      <c r="A42" s="71">
        <v>36</v>
      </c>
      <c r="B42" s="17" t="s">
        <v>90</v>
      </c>
      <c r="C42" s="17" t="s">
        <v>158</v>
      </c>
      <c r="D42" s="18" t="s">
        <v>159</v>
      </c>
      <c r="E42" s="27">
        <v>55</v>
      </c>
      <c r="F42" s="19" t="s">
        <v>90</v>
      </c>
      <c r="G42" s="7"/>
      <c r="H42" s="25">
        <v>2.12</v>
      </c>
      <c r="I42" s="17" t="s">
        <v>82</v>
      </c>
      <c r="J42" s="43">
        <v>1</v>
      </c>
      <c r="K42" s="43">
        <v>3</v>
      </c>
      <c r="L42" s="44" t="s">
        <v>221</v>
      </c>
      <c r="M42" s="45">
        <v>2</v>
      </c>
      <c r="N42" s="46">
        <v>0</v>
      </c>
      <c r="O42" s="47">
        <v>0</v>
      </c>
      <c r="P42" s="4"/>
      <c r="Q42" s="4"/>
    </row>
    <row r="43" spans="1:17" x14ac:dyDescent="0.25">
      <c r="A43" s="71">
        <v>37</v>
      </c>
      <c r="B43" s="17" t="s">
        <v>90</v>
      </c>
      <c r="C43" s="17" t="s">
        <v>160</v>
      </c>
      <c r="D43" s="18" t="s">
        <v>161</v>
      </c>
      <c r="E43" s="27">
        <v>40</v>
      </c>
      <c r="F43" s="19" t="s">
        <v>90</v>
      </c>
      <c r="G43" s="7">
        <v>77665437</v>
      </c>
      <c r="H43" s="25">
        <v>1.9200000000000002</v>
      </c>
      <c r="I43" s="17" t="s">
        <v>82</v>
      </c>
      <c r="J43" s="43">
        <v>0</v>
      </c>
      <c r="K43" s="43">
        <v>2</v>
      </c>
      <c r="L43" s="44" t="s">
        <v>83</v>
      </c>
      <c r="M43" s="45">
        <v>3</v>
      </c>
      <c r="N43" s="46">
        <v>0</v>
      </c>
      <c r="O43" s="47">
        <v>0</v>
      </c>
      <c r="P43" s="4"/>
      <c r="Q43" s="4"/>
    </row>
    <row r="44" spans="1:17" x14ac:dyDescent="0.25">
      <c r="A44" s="71">
        <v>38</v>
      </c>
      <c r="B44" s="17" t="s">
        <v>90</v>
      </c>
      <c r="C44" s="32" t="s">
        <v>162</v>
      </c>
      <c r="D44" s="18" t="s">
        <v>163</v>
      </c>
      <c r="E44" s="27">
        <v>49</v>
      </c>
      <c r="F44" s="19" t="s">
        <v>90</v>
      </c>
      <c r="G44" s="7">
        <v>91117222</v>
      </c>
      <c r="H44" s="25">
        <v>1</v>
      </c>
      <c r="I44" s="17" t="s">
        <v>82</v>
      </c>
      <c r="J44" s="43">
        <v>3</v>
      </c>
      <c r="K44" s="43">
        <v>2</v>
      </c>
      <c r="L44" s="44" t="s">
        <v>83</v>
      </c>
      <c r="M44" s="45">
        <v>2</v>
      </c>
      <c r="N44" s="46">
        <v>0</v>
      </c>
      <c r="O44" s="47">
        <v>0</v>
      </c>
      <c r="P44" s="4"/>
      <c r="Q44" s="4"/>
    </row>
    <row r="45" spans="1:17" x14ac:dyDescent="0.25">
      <c r="A45" s="71">
        <v>39</v>
      </c>
      <c r="B45" s="17" t="s">
        <v>90</v>
      </c>
      <c r="C45" s="17" t="s">
        <v>164</v>
      </c>
      <c r="D45" s="18" t="s">
        <v>165</v>
      </c>
      <c r="E45" s="27">
        <v>46</v>
      </c>
      <c r="F45" s="19" t="s">
        <v>90</v>
      </c>
      <c r="G45" s="7">
        <v>98440180</v>
      </c>
      <c r="H45" s="25">
        <v>1.91</v>
      </c>
      <c r="I45" s="17" t="s">
        <v>82</v>
      </c>
      <c r="J45" s="43">
        <v>0</v>
      </c>
      <c r="K45" s="43">
        <v>2</v>
      </c>
      <c r="L45" s="44"/>
      <c r="M45" s="45">
        <v>2</v>
      </c>
      <c r="N45" s="46">
        <v>0</v>
      </c>
      <c r="O45" s="47">
        <v>0</v>
      </c>
      <c r="P45" s="4"/>
      <c r="Q45" s="4"/>
    </row>
    <row r="46" spans="1:17" x14ac:dyDescent="0.25">
      <c r="A46" s="71">
        <v>40</v>
      </c>
      <c r="B46" s="40" t="s">
        <v>90</v>
      </c>
      <c r="C46" s="17" t="s">
        <v>166</v>
      </c>
      <c r="D46" s="26" t="s">
        <v>167</v>
      </c>
      <c r="E46" s="41">
        <v>56</v>
      </c>
      <c r="F46" s="42" t="s">
        <v>90</v>
      </c>
      <c r="G46" s="7"/>
      <c r="H46" s="59">
        <v>1.88</v>
      </c>
      <c r="I46" s="82" t="s">
        <v>331</v>
      </c>
      <c r="J46" s="60">
        <v>2</v>
      </c>
      <c r="K46" s="60">
        <v>2</v>
      </c>
      <c r="L46" s="61" t="s">
        <v>221</v>
      </c>
      <c r="M46" s="45">
        <v>2</v>
      </c>
      <c r="N46" s="46">
        <v>0</v>
      </c>
      <c r="O46" s="47">
        <v>0</v>
      </c>
      <c r="P46" s="4"/>
      <c r="Q46" s="4"/>
    </row>
    <row r="47" spans="1:17" x14ac:dyDescent="0.25">
      <c r="A47" s="71">
        <v>41</v>
      </c>
      <c r="B47" s="17" t="s">
        <v>90</v>
      </c>
      <c r="C47" s="32" t="s">
        <v>168</v>
      </c>
      <c r="D47" s="18">
        <v>1104560143</v>
      </c>
      <c r="E47" s="17">
        <v>39</v>
      </c>
      <c r="F47" s="34" t="s">
        <v>102</v>
      </c>
      <c r="G47" s="7"/>
      <c r="H47" s="25">
        <v>2.42</v>
      </c>
      <c r="I47" s="17" t="s">
        <v>82</v>
      </c>
      <c r="J47" s="43">
        <v>1</v>
      </c>
      <c r="K47" s="43">
        <v>3</v>
      </c>
      <c r="L47" s="44"/>
      <c r="M47" s="45">
        <v>2</v>
      </c>
      <c r="N47" s="46">
        <v>1</v>
      </c>
      <c r="O47" s="47">
        <v>0</v>
      </c>
      <c r="P47" s="4"/>
      <c r="Q47" s="4"/>
    </row>
    <row r="48" spans="1:17" x14ac:dyDescent="0.25">
      <c r="A48" s="71">
        <v>42</v>
      </c>
      <c r="B48" s="17" t="s">
        <v>90</v>
      </c>
      <c r="C48" s="17" t="s">
        <v>169</v>
      </c>
      <c r="D48" s="18" t="s">
        <v>170</v>
      </c>
      <c r="E48" s="27">
        <v>58</v>
      </c>
      <c r="F48" s="17" t="s">
        <v>90</v>
      </c>
      <c r="G48" s="7"/>
      <c r="H48" s="25">
        <v>1.97</v>
      </c>
      <c r="I48" s="17" t="s">
        <v>82</v>
      </c>
      <c r="J48" s="43">
        <v>1</v>
      </c>
      <c r="K48" s="43">
        <v>3</v>
      </c>
      <c r="L48" s="44"/>
      <c r="M48" s="51">
        <v>2</v>
      </c>
      <c r="N48" s="46">
        <v>0</v>
      </c>
      <c r="O48" s="47">
        <v>0</v>
      </c>
      <c r="P48" s="4"/>
      <c r="Q48" s="4"/>
    </row>
    <row r="49" spans="1:17" x14ac:dyDescent="0.25">
      <c r="A49" s="71">
        <v>43</v>
      </c>
      <c r="B49" s="17" t="s">
        <v>90</v>
      </c>
      <c r="C49" s="17" t="s">
        <v>171</v>
      </c>
      <c r="D49" s="18" t="s">
        <v>172</v>
      </c>
      <c r="E49" s="27">
        <v>58</v>
      </c>
      <c r="F49" s="17" t="s">
        <v>90</v>
      </c>
      <c r="G49" s="7">
        <v>91021790</v>
      </c>
      <c r="H49" s="25">
        <v>1.3</v>
      </c>
      <c r="I49" s="17" t="s">
        <v>82</v>
      </c>
      <c r="J49" s="43">
        <v>2</v>
      </c>
      <c r="K49" s="43">
        <v>3</v>
      </c>
      <c r="L49" s="44"/>
      <c r="M49" s="51">
        <v>3</v>
      </c>
      <c r="N49" s="46">
        <v>0</v>
      </c>
      <c r="O49" s="47">
        <v>0</v>
      </c>
      <c r="P49" s="4"/>
      <c r="Q49" s="4"/>
    </row>
    <row r="50" spans="1:17" x14ac:dyDescent="0.25">
      <c r="A50" s="71">
        <v>44</v>
      </c>
      <c r="B50" s="40" t="s">
        <v>90</v>
      </c>
      <c r="C50" s="17" t="s">
        <v>173</v>
      </c>
      <c r="D50" s="26" t="s">
        <v>174</v>
      </c>
      <c r="E50" s="41">
        <v>51</v>
      </c>
      <c r="F50" s="42" t="s">
        <v>90</v>
      </c>
      <c r="G50" s="7">
        <v>93678478</v>
      </c>
      <c r="H50" s="59">
        <v>1.99</v>
      </c>
      <c r="I50" s="17" t="s">
        <v>82</v>
      </c>
      <c r="J50" s="60">
        <v>1</v>
      </c>
      <c r="K50" s="60">
        <v>1</v>
      </c>
      <c r="L50" s="61" t="s">
        <v>221</v>
      </c>
      <c r="M50" s="45">
        <v>0</v>
      </c>
      <c r="N50" s="46">
        <v>0</v>
      </c>
      <c r="O50" s="47">
        <v>0</v>
      </c>
      <c r="P50" s="4"/>
      <c r="Q50" s="4"/>
    </row>
    <row r="51" spans="1:17" x14ac:dyDescent="0.25">
      <c r="A51" s="71">
        <v>45</v>
      </c>
      <c r="B51" s="17" t="s">
        <v>90</v>
      </c>
      <c r="C51" s="17" t="s">
        <v>175</v>
      </c>
      <c r="D51" s="18" t="s">
        <v>176</v>
      </c>
      <c r="E51" s="27">
        <v>61</v>
      </c>
      <c r="F51" s="19" t="s">
        <v>90</v>
      </c>
      <c r="G51" s="7">
        <v>98560323</v>
      </c>
      <c r="H51" s="25">
        <v>0.7</v>
      </c>
      <c r="I51" s="17" t="s">
        <v>82</v>
      </c>
      <c r="J51" s="43">
        <v>3</v>
      </c>
      <c r="K51" s="43">
        <v>3</v>
      </c>
      <c r="L51" s="44" t="s">
        <v>83</v>
      </c>
      <c r="M51" s="45">
        <v>2</v>
      </c>
      <c r="N51" s="46">
        <v>0</v>
      </c>
      <c r="O51" s="47">
        <v>0</v>
      </c>
      <c r="P51" s="4"/>
      <c r="Q51" s="4"/>
    </row>
    <row r="52" spans="1:17" x14ac:dyDescent="0.25">
      <c r="A52" s="71">
        <v>46</v>
      </c>
      <c r="B52" s="17" t="s">
        <v>90</v>
      </c>
      <c r="C52" s="17" t="s">
        <v>177</v>
      </c>
      <c r="D52" s="18" t="s">
        <v>178</v>
      </c>
      <c r="E52" s="27">
        <v>42</v>
      </c>
      <c r="F52" s="19" t="s">
        <v>90</v>
      </c>
      <c r="G52" s="7">
        <v>98797375</v>
      </c>
      <c r="H52" s="25">
        <v>1.49</v>
      </c>
      <c r="I52" s="17" t="s">
        <v>82</v>
      </c>
      <c r="J52" s="43">
        <v>0</v>
      </c>
      <c r="K52" s="43">
        <v>2</v>
      </c>
      <c r="L52" s="44" t="s">
        <v>83</v>
      </c>
      <c r="M52" s="45">
        <v>3</v>
      </c>
      <c r="N52" s="46">
        <v>0</v>
      </c>
      <c r="O52" s="47">
        <v>0</v>
      </c>
      <c r="P52" s="4"/>
      <c r="Q52" s="4"/>
    </row>
    <row r="53" spans="1:17" x14ac:dyDescent="0.25">
      <c r="A53" s="71">
        <v>47</v>
      </c>
      <c r="B53" s="17" t="s">
        <v>90</v>
      </c>
      <c r="C53" s="17" t="s">
        <v>179</v>
      </c>
      <c r="D53" s="18" t="s">
        <v>180</v>
      </c>
      <c r="E53" s="27">
        <v>43</v>
      </c>
      <c r="F53" s="19" t="s">
        <v>90</v>
      </c>
      <c r="G53" s="7">
        <v>93865465</v>
      </c>
      <c r="H53" s="25">
        <v>1.67</v>
      </c>
      <c r="I53" s="82" t="s">
        <v>331</v>
      </c>
      <c r="J53" s="43">
        <v>0</v>
      </c>
      <c r="K53" s="43">
        <v>4</v>
      </c>
      <c r="L53" s="44" t="s">
        <v>83</v>
      </c>
      <c r="M53" s="45">
        <v>2</v>
      </c>
      <c r="N53" s="46">
        <v>0</v>
      </c>
      <c r="O53" s="47">
        <v>0</v>
      </c>
      <c r="P53" s="4"/>
      <c r="Q53" s="4"/>
    </row>
    <row r="54" spans="1:17" x14ac:dyDescent="0.25">
      <c r="A54" s="71">
        <v>48</v>
      </c>
      <c r="B54" s="17" t="s">
        <v>90</v>
      </c>
      <c r="C54" s="17" t="s">
        <v>181</v>
      </c>
      <c r="D54" s="18" t="s">
        <v>182</v>
      </c>
      <c r="E54" s="27">
        <v>51</v>
      </c>
      <c r="F54" s="19" t="s">
        <v>90</v>
      </c>
      <c r="G54" s="7">
        <v>77204526</v>
      </c>
      <c r="H54" s="25">
        <v>1.05</v>
      </c>
      <c r="I54" s="17" t="s">
        <v>82</v>
      </c>
      <c r="J54" s="43">
        <v>1</v>
      </c>
      <c r="K54" s="43">
        <v>2</v>
      </c>
      <c r="L54" s="44" t="s">
        <v>83</v>
      </c>
      <c r="M54" s="45">
        <v>1</v>
      </c>
      <c r="N54" s="46">
        <v>0</v>
      </c>
      <c r="O54" s="47">
        <v>0</v>
      </c>
      <c r="P54" s="4"/>
      <c r="Q54" s="4"/>
    </row>
    <row r="55" spans="1:17" x14ac:dyDescent="0.25">
      <c r="A55" s="71">
        <v>49</v>
      </c>
      <c r="B55" s="17" t="s">
        <v>90</v>
      </c>
      <c r="C55" s="17" t="s">
        <v>183</v>
      </c>
      <c r="D55" s="18" t="s">
        <v>184</v>
      </c>
      <c r="E55" s="27">
        <v>48</v>
      </c>
      <c r="F55" s="17" t="s">
        <v>90</v>
      </c>
      <c r="G55" s="7"/>
      <c r="H55" s="25">
        <v>2.4700000000000002</v>
      </c>
      <c r="I55" s="17" t="s">
        <v>82</v>
      </c>
      <c r="J55" s="43">
        <v>0</v>
      </c>
      <c r="K55" s="43">
        <v>3</v>
      </c>
      <c r="L55" s="44"/>
      <c r="M55" s="51">
        <v>2</v>
      </c>
      <c r="N55" s="46">
        <v>0</v>
      </c>
      <c r="O55" s="47">
        <v>0</v>
      </c>
      <c r="P55" s="4"/>
      <c r="Q55" s="4"/>
    </row>
    <row r="56" spans="1:17" x14ac:dyDescent="0.25">
      <c r="A56" s="71">
        <v>50</v>
      </c>
      <c r="B56" s="17" t="s">
        <v>90</v>
      </c>
      <c r="C56" s="32" t="s">
        <v>185</v>
      </c>
      <c r="D56" s="18" t="s">
        <v>186</v>
      </c>
      <c r="E56" s="17">
        <v>27</v>
      </c>
      <c r="F56" s="34" t="s">
        <v>102</v>
      </c>
      <c r="G56" s="7"/>
      <c r="H56" s="25">
        <v>0.6</v>
      </c>
      <c r="I56" s="17" t="s">
        <v>82</v>
      </c>
      <c r="J56" s="43">
        <v>1</v>
      </c>
      <c r="K56" s="43">
        <v>1</v>
      </c>
      <c r="L56" s="44"/>
      <c r="M56" s="45">
        <v>2</v>
      </c>
      <c r="N56" s="46">
        <v>0</v>
      </c>
      <c r="O56" s="47">
        <v>1</v>
      </c>
      <c r="P56" s="4"/>
      <c r="Q56" s="4"/>
    </row>
    <row r="57" spans="1:17" x14ac:dyDescent="0.25">
      <c r="A57" s="71">
        <v>51</v>
      </c>
      <c r="B57" s="17" t="s">
        <v>90</v>
      </c>
      <c r="C57" s="17" t="s">
        <v>187</v>
      </c>
      <c r="D57" s="18" t="s">
        <v>188</v>
      </c>
      <c r="E57" s="27">
        <v>31</v>
      </c>
      <c r="F57" s="19" t="s">
        <v>90</v>
      </c>
      <c r="G57" s="7">
        <v>98780928</v>
      </c>
      <c r="H57" s="25">
        <v>2.81</v>
      </c>
      <c r="I57" s="17" t="s">
        <v>82</v>
      </c>
      <c r="J57" s="43">
        <v>0</v>
      </c>
      <c r="K57" s="43">
        <v>2</v>
      </c>
      <c r="L57" s="44" t="s">
        <v>83</v>
      </c>
      <c r="M57" s="45">
        <v>2</v>
      </c>
      <c r="N57" s="46">
        <v>0</v>
      </c>
      <c r="O57" s="47">
        <v>0</v>
      </c>
      <c r="P57" s="4"/>
      <c r="Q57" s="4"/>
    </row>
    <row r="58" spans="1:17" x14ac:dyDescent="0.25">
      <c r="A58" s="71">
        <v>52</v>
      </c>
      <c r="B58" s="17" t="s">
        <v>90</v>
      </c>
      <c r="C58" s="17" t="s">
        <v>189</v>
      </c>
      <c r="D58" s="18" t="s">
        <v>190</v>
      </c>
      <c r="E58" s="27">
        <v>60</v>
      </c>
      <c r="F58" s="19" t="s">
        <v>90</v>
      </c>
      <c r="G58" s="7">
        <v>77669353</v>
      </c>
      <c r="H58" s="25">
        <v>1.82</v>
      </c>
      <c r="I58" s="17" t="s">
        <v>82</v>
      </c>
      <c r="J58" s="43">
        <v>1</v>
      </c>
      <c r="K58" s="43">
        <v>4</v>
      </c>
      <c r="L58" s="44" t="s">
        <v>83</v>
      </c>
      <c r="M58" s="45">
        <v>2</v>
      </c>
      <c r="N58" s="46">
        <v>0</v>
      </c>
      <c r="O58" s="47">
        <v>0</v>
      </c>
      <c r="P58" s="4"/>
      <c r="Q58" s="4"/>
    </row>
    <row r="59" spans="1:17" x14ac:dyDescent="0.25">
      <c r="A59" s="71">
        <v>53</v>
      </c>
      <c r="B59" s="17" t="s">
        <v>90</v>
      </c>
      <c r="C59" s="17" t="s">
        <v>191</v>
      </c>
      <c r="D59" s="18" t="s">
        <v>192</v>
      </c>
      <c r="E59" s="27">
        <v>58</v>
      </c>
      <c r="F59" s="19" t="s">
        <v>90</v>
      </c>
      <c r="G59" s="7">
        <v>98545258</v>
      </c>
      <c r="H59" s="25">
        <v>2.39</v>
      </c>
      <c r="I59" s="17" t="s">
        <v>82</v>
      </c>
      <c r="J59" s="43">
        <v>2</v>
      </c>
      <c r="K59" s="43">
        <v>1</v>
      </c>
      <c r="L59" s="44" t="s">
        <v>83</v>
      </c>
      <c r="M59" s="45">
        <v>0</v>
      </c>
      <c r="N59" s="46">
        <v>0</v>
      </c>
      <c r="O59" s="47">
        <v>0</v>
      </c>
      <c r="P59" s="4"/>
      <c r="Q59" s="4"/>
    </row>
    <row r="60" spans="1:17" x14ac:dyDescent="0.25">
      <c r="A60" s="71">
        <v>54</v>
      </c>
      <c r="B60" s="17" t="s">
        <v>90</v>
      </c>
      <c r="C60" s="17" t="s">
        <v>193</v>
      </c>
      <c r="D60" s="33" t="s">
        <v>194</v>
      </c>
      <c r="E60" s="27">
        <v>45</v>
      </c>
      <c r="F60" s="19" t="s">
        <v>90</v>
      </c>
      <c r="G60" s="7"/>
      <c r="H60" s="25">
        <v>1.26</v>
      </c>
      <c r="I60" s="17" t="s">
        <v>82</v>
      </c>
      <c r="J60" s="43">
        <v>0</v>
      </c>
      <c r="K60" s="43">
        <v>2</v>
      </c>
      <c r="L60" s="44" t="s">
        <v>83</v>
      </c>
      <c r="M60" s="45">
        <v>2</v>
      </c>
      <c r="N60" s="46">
        <v>0</v>
      </c>
      <c r="O60" s="47">
        <v>0</v>
      </c>
      <c r="P60" s="4"/>
      <c r="Q60" s="4"/>
    </row>
    <row r="61" spans="1:17" x14ac:dyDescent="0.25">
      <c r="A61" s="71">
        <v>55</v>
      </c>
      <c r="B61" s="17" t="s">
        <v>90</v>
      </c>
      <c r="C61" s="17" t="s">
        <v>195</v>
      </c>
      <c r="D61" s="18" t="s">
        <v>196</v>
      </c>
      <c r="E61" s="17">
        <v>53</v>
      </c>
      <c r="F61" s="34" t="s">
        <v>102</v>
      </c>
      <c r="G61" s="7"/>
      <c r="H61" s="25">
        <v>2.89</v>
      </c>
      <c r="I61" s="17" t="s">
        <v>82</v>
      </c>
      <c r="J61" s="43">
        <v>0</v>
      </c>
      <c r="K61" s="43">
        <v>2</v>
      </c>
      <c r="L61" s="44"/>
      <c r="M61" s="45">
        <v>0</v>
      </c>
      <c r="N61" s="46">
        <v>1</v>
      </c>
      <c r="O61" s="47">
        <v>0</v>
      </c>
      <c r="P61" s="4"/>
      <c r="Q61" s="4"/>
    </row>
    <row r="62" spans="1:17" x14ac:dyDescent="0.25">
      <c r="A62" s="71">
        <v>56</v>
      </c>
      <c r="B62" s="17" t="s">
        <v>90</v>
      </c>
      <c r="C62" s="17" t="s">
        <v>197</v>
      </c>
      <c r="D62" s="18" t="s">
        <v>198</v>
      </c>
      <c r="E62" s="27">
        <v>49</v>
      </c>
      <c r="F62" s="19" t="s">
        <v>90</v>
      </c>
      <c r="G62" s="7">
        <v>77820086</v>
      </c>
      <c r="H62" s="25">
        <v>2.27</v>
      </c>
      <c r="I62" s="17" t="s">
        <v>82</v>
      </c>
      <c r="J62" s="43">
        <v>0</v>
      </c>
      <c r="K62" s="43">
        <v>2</v>
      </c>
      <c r="L62" s="44"/>
      <c r="M62" s="45"/>
      <c r="N62" s="46">
        <v>0</v>
      </c>
      <c r="O62" s="47">
        <v>0</v>
      </c>
      <c r="P62" s="4"/>
      <c r="Q62" s="4"/>
    </row>
    <row r="63" spans="1:17" x14ac:dyDescent="0.25">
      <c r="A63" s="71">
        <v>57</v>
      </c>
      <c r="B63" s="17" t="s">
        <v>90</v>
      </c>
      <c r="C63" s="17" t="s">
        <v>199</v>
      </c>
      <c r="D63" s="18" t="s">
        <v>200</v>
      </c>
      <c r="E63" s="27">
        <v>58</v>
      </c>
      <c r="F63" s="19" t="s">
        <v>90</v>
      </c>
      <c r="G63" s="7">
        <v>77952594</v>
      </c>
      <c r="H63" s="25">
        <v>2.7</v>
      </c>
      <c r="I63" s="17" t="s">
        <v>82</v>
      </c>
      <c r="J63" s="43">
        <v>2</v>
      </c>
      <c r="K63" s="43">
        <v>2</v>
      </c>
      <c r="L63" s="44"/>
      <c r="M63" s="45">
        <v>0</v>
      </c>
      <c r="N63" s="46">
        <v>1</v>
      </c>
      <c r="O63" s="47">
        <v>0</v>
      </c>
      <c r="P63" s="4"/>
      <c r="Q63" s="4"/>
    </row>
    <row r="64" spans="1:17" x14ac:dyDescent="0.25">
      <c r="A64" s="71">
        <v>58</v>
      </c>
      <c r="B64" s="17" t="s">
        <v>90</v>
      </c>
      <c r="C64" s="17" t="s">
        <v>201</v>
      </c>
      <c r="D64" s="18" t="s">
        <v>202</v>
      </c>
      <c r="E64" s="27">
        <v>40</v>
      </c>
      <c r="F64" s="19" t="s">
        <v>90</v>
      </c>
      <c r="G64" s="7"/>
      <c r="H64" s="25">
        <v>1.34</v>
      </c>
      <c r="I64" s="17" t="s">
        <v>82</v>
      </c>
      <c r="J64" s="43">
        <v>0</v>
      </c>
      <c r="K64" s="43">
        <v>3</v>
      </c>
      <c r="L64" s="44"/>
      <c r="M64" s="45">
        <v>0</v>
      </c>
      <c r="N64" s="46">
        <v>1</v>
      </c>
      <c r="O64" s="47">
        <v>0</v>
      </c>
      <c r="P64" s="4"/>
      <c r="Q64" s="4"/>
    </row>
    <row r="65" spans="1:17" x14ac:dyDescent="0.25">
      <c r="A65" s="71">
        <v>59</v>
      </c>
      <c r="B65" s="17" t="s">
        <v>90</v>
      </c>
      <c r="C65" s="17" t="s">
        <v>203</v>
      </c>
      <c r="D65" s="18" t="s">
        <v>204</v>
      </c>
      <c r="E65" s="27">
        <v>35</v>
      </c>
      <c r="F65" s="17" t="s">
        <v>90</v>
      </c>
      <c r="G65" s="7">
        <v>98464144</v>
      </c>
      <c r="H65" s="25">
        <v>1.64</v>
      </c>
      <c r="I65" s="17" t="s">
        <v>82</v>
      </c>
      <c r="J65" s="43">
        <v>0</v>
      </c>
      <c r="K65" s="43">
        <v>5</v>
      </c>
      <c r="L65" s="44"/>
      <c r="M65" s="51">
        <v>3</v>
      </c>
      <c r="N65" s="46">
        <v>0</v>
      </c>
      <c r="O65" s="47">
        <v>0</v>
      </c>
      <c r="P65" s="4"/>
      <c r="Q65" s="4"/>
    </row>
    <row r="66" spans="1:17" x14ac:dyDescent="0.25">
      <c r="A66" s="71">
        <v>60</v>
      </c>
      <c r="B66" s="17" t="s">
        <v>90</v>
      </c>
      <c r="C66" s="17" t="s">
        <v>205</v>
      </c>
      <c r="D66" s="18" t="s">
        <v>206</v>
      </c>
      <c r="E66" s="27">
        <v>60</v>
      </c>
      <c r="F66" s="19" t="s">
        <v>90</v>
      </c>
      <c r="G66" s="7"/>
      <c r="H66" s="25">
        <v>2.5</v>
      </c>
      <c r="I66" s="17" t="s">
        <v>82</v>
      </c>
      <c r="J66" s="43">
        <v>1</v>
      </c>
      <c r="K66" s="43">
        <v>3</v>
      </c>
      <c r="L66" s="44" t="s">
        <v>221</v>
      </c>
      <c r="M66" s="45">
        <v>0</v>
      </c>
      <c r="N66" s="46">
        <v>0</v>
      </c>
      <c r="O66" s="47">
        <v>0</v>
      </c>
      <c r="P66" s="4"/>
      <c r="Q66" s="4"/>
    </row>
    <row r="67" spans="1:17" x14ac:dyDescent="0.25">
      <c r="A67" s="71">
        <v>61</v>
      </c>
      <c r="B67" s="17" t="s">
        <v>90</v>
      </c>
      <c r="C67" s="17" t="s">
        <v>207</v>
      </c>
      <c r="D67" s="18" t="s">
        <v>208</v>
      </c>
      <c r="E67" s="27">
        <v>58</v>
      </c>
      <c r="F67" s="17" t="s">
        <v>90</v>
      </c>
      <c r="G67" s="7">
        <v>93198539</v>
      </c>
      <c r="H67" s="25">
        <v>1.94</v>
      </c>
      <c r="I67" s="17" t="s">
        <v>82</v>
      </c>
      <c r="J67" s="43">
        <v>2</v>
      </c>
      <c r="K67" s="43">
        <v>2</v>
      </c>
      <c r="L67" s="44"/>
      <c r="M67" s="51">
        <v>2</v>
      </c>
      <c r="N67" s="46">
        <v>0</v>
      </c>
      <c r="O67" s="47">
        <v>0</v>
      </c>
      <c r="P67" s="4"/>
      <c r="Q67" s="4"/>
    </row>
    <row r="68" spans="1:17" x14ac:dyDescent="0.25">
      <c r="A68" s="71">
        <v>62</v>
      </c>
      <c r="B68" s="17" t="s">
        <v>90</v>
      </c>
      <c r="C68" s="19" t="s">
        <v>209</v>
      </c>
      <c r="D68" s="18" t="s">
        <v>210</v>
      </c>
      <c r="E68" s="27">
        <v>46</v>
      </c>
      <c r="F68" s="19" t="s">
        <v>90</v>
      </c>
      <c r="G68" s="7">
        <v>94823658</v>
      </c>
      <c r="H68" s="25">
        <v>0.85</v>
      </c>
      <c r="I68" s="17" t="s">
        <v>82</v>
      </c>
      <c r="J68" s="43">
        <v>0</v>
      </c>
      <c r="K68" s="43">
        <v>2</v>
      </c>
      <c r="L68" s="44" t="s">
        <v>83</v>
      </c>
      <c r="M68" s="45">
        <v>2</v>
      </c>
      <c r="N68" s="46">
        <v>0</v>
      </c>
      <c r="O68" s="47">
        <v>0</v>
      </c>
      <c r="P68" s="4"/>
      <c r="Q68" s="4"/>
    </row>
    <row r="69" spans="1:17" x14ac:dyDescent="0.25">
      <c r="A69" s="71">
        <v>63</v>
      </c>
      <c r="B69" s="17" t="s">
        <v>90</v>
      </c>
      <c r="C69" s="17" t="s">
        <v>211</v>
      </c>
      <c r="D69" s="18" t="s">
        <v>212</v>
      </c>
      <c r="E69" s="27">
        <v>60</v>
      </c>
      <c r="F69" s="19" t="s">
        <v>90</v>
      </c>
      <c r="G69" s="7">
        <v>77101711</v>
      </c>
      <c r="H69" s="25">
        <v>1.1220000000000001</v>
      </c>
      <c r="I69" s="17" t="s">
        <v>82</v>
      </c>
      <c r="J69" s="43">
        <v>0</v>
      </c>
      <c r="K69" s="43">
        <v>1</v>
      </c>
      <c r="L69" s="44" t="s">
        <v>83</v>
      </c>
      <c r="M69" s="45">
        <v>0</v>
      </c>
      <c r="N69" s="46">
        <v>1</v>
      </c>
      <c r="O69" s="47">
        <v>0</v>
      </c>
      <c r="P69" s="4"/>
      <c r="Q69" s="4"/>
    </row>
    <row r="70" spans="1:17" x14ac:dyDescent="0.25">
      <c r="A70" s="71">
        <v>64</v>
      </c>
      <c r="B70" s="17" t="s">
        <v>90</v>
      </c>
      <c r="C70" s="17" t="s">
        <v>213</v>
      </c>
      <c r="D70" s="18" t="s">
        <v>214</v>
      </c>
      <c r="E70" s="27">
        <v>42</v>
      </c>
      <c r="F70" s="19" t="s">
        <v>90</v>
      </c>
      <c r="G70" s="7">
        <v>98950535</v>
      </c>
      <c r="H70" s="25">
        <v>2.88</v>
      </c>
      <c r="I70" s="17" t="s">
        <v>331</v>
      </c>
      <c r="J70" s="43">
        <v>0</v>
      </c>
      <c r="K70" s="43">
        <v>2</v>
      </c>
      <c r="L70" s="44" t="s">
        <v>83</v>
      </c>
      <c r="M70" s="45">
        <v>2</v>
      </c>
      <c r="N70" s="46">
        <v>0</v>
      </c>
      <c r="O70" s="47">
        <v>0</v>
      </c>
      <c r="P70" s="4"/>
      <c r="Q70" s="4"/>
    </row>
    <row r="71" spans="1:17" x14ac:dyDescent="0.25">
      <c r="A71" s="71">
        <v>65</v>
      </c>
      <c r="B71" s="17" t="s">
        <v>90</v>
      </c>
      <c r="C71" s="17" t="s">
        <v>215</v>
      </c>
      <c r="D71" s="18" t="s">
        <v>216</v>
      </c>
      <c r="E71" s="27">
        <v>52</v>
      </c>
      <c r="F71" s="19" t="s">
        <v>90</v>
      </c>
      <c r="G71" s="7">
        <v>98160867</v>
      </c>
      <c r="H71" s="25">
        <v>0.99</v>
      </c>
      <c r="I71" s="17" t="s">
        <v>82</v>
      </c>
      <c r="J71" s="43">
        <v>1</v>
      </c>
      <c r="K71" s="43">
        <v>2</v>
      </c>
      <c r="L71" s="44"/>
      <c r="M71" s="45">
        <v>0</v>
      </c>
      <c r="N71" s="46">
        <v>1</v>
      </c>
      <c r="O71" s="47">
        <v>0</v>
      </c>
      <c r="P71" s="4"/>
      <c r="Q71" s="4"/>
    </row>
    <row r="72" spans="1:17" x14ac:dyDescent="0.25">
      <c r="A72" s="71">
        <v>66</v>
      </c>
      <c r="B72" s="17" t="s">
        <v>90</v>
      </c>
      <c r="C72" s="17" t="s">
        <v>217</v>
      </c>
      <c r="D72" s="18" t="s">
        <v>218</v>
      </c>
      <c r="E72" s="17">
        <v>30</v>
      </c>
      <c r="F72" s="17" t="s">
        <v>90</v>
      </c>
      <c r="G72" s="7">
        <v>93755797</v>
      </c>
      <c r="H72" s="25">
        <v>1.63</v>
      </c>
      <c r="I72" s="17" t="s">
        <v>82</v>
      </c>
      <c r="J72" s="43">
        <v>0</v>
      </c>
      <c r="K72" s="43">
        <v>2</v>
      </c>
      <c r="L72" s="44"/>
      <c r="M72" s="45">
        <v>2</v>
      </c>
      <c r="N72" s="46">
        <v>0</v>
      </c>
      <c r="O72" s="47">
        <v>0</v>
      </c>
      <c r="P72" s="4"/>
      <c r="Q72" s="4"/>
    </row>
    <row r="73" spans="1:17" x14ac:dyDescent="0.25">
      <c r="A73" s="71">
        <v>67</v>
      </c>
      <c r="B73" s="17" t="s">
        <v>90</v>
      </c>
      <c r="C73" s="17" t="s">
        <v>219</v>
      </c>
      <c r="D73" s="18" t="s">
        <v>220</v>
      </c>
      <c r="E73" s="27">
        <v>42</v>
      </c>
      <c r="F73" s="19" t="s">
        <v>90</v>
      </c>
      <c r="G73" s="7"/>
      <c r="H73" s="25">
        <v>0.52</v>
      </c>
      <c r="I73" s="17" t="s">
        <v>82</v>
      </c>
      <c r="J73" s="43">
        <v>1</v>
      </c>
      <c r="K73" s="43">
        <v>2</v>
      </c>
      <c r="L73" s="44" t="s">
        <v>221</v>
      </c>
      <c r="M73" s="45">
        <v>1</v>
      </c>
      <c r="N73" s="46">
        <v>0</v>
      </c>
      <c r="O73" s="47">
        <v>0</v>
      </c>
      <c r="P73" s="4"/>
      <c r="Q73" s="4"/>
    </row>
    <row r="74" spans="1:17" x14ac:dyDescent="0.25">
      <c r="A74" s="71">
        <v>68</v>
      </c>
      <c r="B74" s="17" t="s">
        <v>90</v>
      </c>
      <c r="C74" s="35" t="s">
        <v>323</v>
      </c>
      <c r="D74" s="33" t="s">
        <v>324</v>
      </c>
      <c r="E74" s="72">
        <v>61</v>
      </c>
      <c r="F74" s="19" t="s">
        <v>90</v>
      </c>
      <c r="G74" s="7"/>
      <c r="H74" s="73">
        <v>2.536</v>
      </c>
      <c r="I74" s="17" t="s">
        <v>82</v>
      </c>
      <c r="J74" s="74">
        <v>1</v>
      </c>
      <c r="K74" s="74">
        <v>4</v>
      </c>
      <c r="L74" s="65"/>
      <c r="M74" s="75">
        <v>2</v>
      </c>
      <c r="N74" s="69">
        <v>0</v>
      </c>
      <c r="O74" s="70">
        <v>0</v>
      </c>
      <c r="P74" s="4"/>
      <c r="Q74" s="4"/>
    </row>
    <row r="75" spans="1:17" x14ac:dyDescent="0.25">
      <c r="A75" s="71">
        <v>69</v>
      </c>
      <c r="B75" s="17" t="s">
        <v>90</v>
      </c>
      <c r="C75" s="35" t="s">
        <v>325</v>
      </c>
      <c r="D75" s="33" t="s">
        <v>326</v>
      </c>
      <c r="E75" s="72">
        <v>39</v>
      </c>
      <c r="F75" s="19" t="s">
        <v>90</v>
      </c>
      <c r="G75" s="7">
        <v>77321832</v>
      </c>
      <c r="H75" s="73">
        <v>1.82</v>
      </c>
      <c r="I75" s="82" t="s">
        <v>82</v>
      </c>
      <c r="J75" s="74">
        <v>1</v>
      </c>
      <c r="K75" s="74">
        <v>3</v>
      </c>
      <c r="L75" s="65"/>
      <c r="M75" s="75">
        <v>2</v>
      </c>
      <c r="N75" s="69">
        <v>0</v>
      </c>
      <c r="O75" s="70">
        <v>0</v>
      </c>
      <c r="P75" s="4"/>
      <c r="Q75" s="4"/>
    </row>
    <row r="79" spans="1:17" x14ac:dyDescent="0.25">
      <c r="B79" s="91" t="s">
        <v>19</v>
      </c>
      <c r="C79" s="91"/>
      <c r="D79" s="91"/>
      <c r="E79" s="91"/>
      <c r="F79" s="91"/>
      <c r="G79" s="91"/>
      <c r="H79" s="91"/>
      <c r="I79" s="91"/>
    </row>
    <row r="83" spans="3:3" x14ac:dyDescent="0.25">
      <c r="C83" s="1" t="s">
        <v>327</v>
      </c>
    </row>
  </sheetData>
  <autoFilter ref="A7:GN75"/>
  <mergeCells count="14">
    <mergeCell ref="I5:I6"/>
    <mergeCell ref="J5:K5"/>
    <mergeCell ref="L5:Q5"/>
    <mergeCell ref="B79:I79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9" orientation="portrait" verticalDpi="0" r:id="rId1"/>
  <ignoredErrors>
    <ignoredError sqref="G37 G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A5" sqref="A5:A6"/>
    </sheetView>
  </sheetViews>
  <sheetFormatPr defaultColWidth="5.85546875" defaultRowHeight="13.5" x14ac:dyDescent="0.25"/>
  <cols>
    <col min="1" max="1" width="4.140625" style="1" customWidth="1"/>
    <col min="2" max="2" width="11.7109375" style="1" customWidth="1"/>
    <col min="3" max="3" width="24.28515625" style="1" customWidth="1"/>
    <col min="4" max="4" width="13.7109375" style="1" customWidth="1"/>
    <col min="5" max="5" width="7.85546875" style="1" customWidth="1"/>
    <col min="6" max="6" width="13.14062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19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9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19" s="2" customFormat="1" ht="120" customHeight="1" x14ac:dyDescent="0.25">
      <c r="A5" s="98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19" ht="166.5" customHeight="1" x14ac:dyDescent="0.25">
      <c r="A6" s="99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19" ht="13.9" customHeight="1" x14ac:dyDescent="0.2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</row>
    <row r="8" spans="1:19" x14ac:dyDescent="0.25">
      <c r="A8" s="6">
        <v>1</v>
      </c>
      <c r="B8" s="17" t="s">
        <v>223</v>
      </c>
      <c r="C8" s="17" t="s">
        <v>224</v>
      </c>
      <c r="D8" s="18" t="s">
        <v>225</v>
      </c>
      <c r="E8" s="17">
        <v>49</v>
      </c>
      <c r="F8" s="17" t="s">
        <v>226</v>
      </c>
      <c r="G8" s="77" t="s">
        <v>333</v>
      </c>
      <c r="H8" s="21">
        <v>2.83</v>
      </c>
      <c r="I8" s="17" t="s">
        <v>82</v>
      </c>
      <c r="J8" s="21">
        <v>0</v>
      </c>
      <c r="K8" s="21">
        <v>2</v>
      </c>
      <c r="L8" s="19"/>
      <c r="M8" s="22">
        <v>0</v>
      </c>
      <c r="N8" s="22">
        <v>0</v>
      </c>
      <c r="O8" s="7">
        <v>0</v>
      </c>
      <c r="P8" s="7"/>
      <c r="Q8" s="7"/>
    </row>
    <row r="9" spans="1:19" x14ac:dyDescent="0.25">
      <c r="B9" s="62"/>
      <c r="C9" s="62"/>
      <c r="D9" s="62"/>
      <c r="E9" s="62"/>
      <c r="F9" s="62"/>
      <c r="G9" s="62"/>
      <c r="H9" s="62"/>
      <c r="I9" s="62"/>
    </row>
    <row r="10" spans="1:19" ht="14.25" customHeight="1" x14ac:dyDescent="0.25"/>
    <row r="12" spans="1:19" x14ac:dyDescent="0.25">
      <c r="B12" s="91" t="s">
        <v>19</v>
      </c>
      <c r="C12" s="91"/>
      <c r="D12" s="91"/>
      <c r="E12" s="91"/>
      <c r="F12" s="91"/>
      <c r="G12" s="91"/>
      <c r="H12" s="91"/>
      <c r="I12" s="91"/>
    </row>
  </sheetData>
  <mergeCells count="14">
    <mergeCell ref="I5:I6"/>
    <mergeCell ref="J5:K5"/>
    <mergeCell ref="L5:Q5"/>
    <mergeCell ref="B12:I12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topLeftCell="A18" workbookViewId="0">
      <selection activeCell="C34" sqref="C34"/>
    </sheetView>
  </sheetViews>
  <sheetFormatPr defaultColWidth="5.85546875" defaultRowHeight="13.5" x14ac:dyDescent="0.25"/>
  <cols>
    <col min="1" max="1" width="4.140625" style="1" customWidth="1"/>
    <col min="2" max="2" width="14" style="1" customWidth="1"/>
    <col min="3" max="3" width="28.85546875" style="1" customWidth="1"/>
    <col min="4" max="4" width="13.7109375" style="1" customWidth="1"/>
    <col min="5" max="5" width="7.85546875" style="1" customWidth="1"/>
    <col min="6" max="6" width="12.710937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48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48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48" s="2" customFormat="1" ht="120" customHeight="1" x14ac:dyDescent="0.25">
      <c r="A5" s="98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48" ht="166.5" customHeight="1" x14ac:dyDescent="0.25">
      <c r="A6" s="99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48" ht="13.9" customHeight="1" x14ac:dyDescent="0.2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</row>
    <row r="8" spans="1:48" x14ac:dyDescent="0.25">
      <c r="A8" s="6">
        <v>1</v>
      </c>
      <c r="B8" s="7" t="str">
        <f>'[1]Փ. Սեպասար '!B17</f>
        <v xml:space="preserve">գ․Փ․Սեպասար </v>
      </c>
      <c r="C8" s="7" t="str">
        <f>'[1]Փ. Սեպասար '!C17</f>
        <v>Լյովա Մինասյան Սուրենի</v>
      </c>
      <c r="D8" s="7" t="str">
        <f>'[1]Փ. Սեպասար '!D17</f>
        <v>AB0588217</v>
      </c>
      <c r="E8" s="7">
        <f>'[1]Փ. Սեպասար '!E17</f>
        <v>58</v>
      </c>
      <c r="F8" s="7" t="str">
        <f>'[1]Փ. Սեպասար '!F17</f>
        <v xml:space="preserve">գ․Փ․Սեպասար </v>
      </c>
      <c r="G8" s="7">
        <v>77372949</v>
      </c>
      <c r="H8" s="21">
        <v>0.5</v>
      </c>
      <c r="I8" s="17" t="s">
        <v>331</v>
      </c>
      <c r="J8" s="21">
        <v>2</v>
      </c>
      <c r="K8" s="21">
        <v>2</v>
      </c>
      <c r="L8" s="19"/>
      <c r="M8" s="22">
        <v>0</v>
      </c>
      <c r="N8" s="22">
        <v>0</v>
      </c>
      <c r="O8" s="65">
        <v>0</v>
      </c>
      <c r="P8" s="7"/>
      <c r="Q8" s="7"/>
    </row>
    <row r="9" spans="1:48" ht="15" customHeight="1" x14ac:dyDescent="0.25">
      <c r="A9" s="6">
        <v>2</v>
      </c>
      <c r="B9" s="7" t="str">
        <f>'[1]Փ. Սեպասար '!B18</f>
        <v xml:space="preserve">գ․Փ․Սեպասար </v>
      </c>
      <c r="C9" s="7" t="str">
        <f>'[1]Փ. Սեպասար '!C18</f>
        <v>Աղվան Ալեքսանյան Ալեքսանի</v>
      </c>
      <c r="D9" s="7" t="str">
        <f>'[1]Փ. Սեպասար '!D18</f>
        <v>AM0419699</v>
      </c>
      <c r="E9" s="7">
        <f>'[1]Փ. Սեպասար '!E18</f>
        <v>52</v>
      </c>
      <c r="F9" s="7" t="str">
        <f>'[1]Փ. Սեպասար '!F18</f>
        <v xml:space="preserve">գ․Փ․Սեպասար </v>
      </c>
      <c r="G9" s="7">
        <v>98447478</v>
      </c>
      <c r="H9" s="66">
        <v>0.25</v>
      </c>
      <c r="I9" s="17" t="s">
        <v>331</v>
      </c>
      <c r="J9" s="66">
        <v>3</v>
      </c>
      <c r="K9" s="66">
        <v>1</v>
      </c>
      <c r="L9" s="31" t="s">
        <v>83</v>
      </c>
      <c r="M9" s="22">
        <v>1</v>
      </c>
      <c r="N9" s="22">
        <v>0</v>
      </c>
      <c r="O9" s="65">
        <v>0</v>
      </c>
      <c r="P9" s="7"/>
      <c r="Q9" s="7"/>
    </row>
    <row r="10" spans="1:48" s="4" customFormat="1" x14ac:dyDescent="0.25">
      <c r="A10" s="6">
        <v>3</v>
      </c>
      <c r="B10" s="7" t="str">
        <f>'[1]Փ. Սեպասար '!B19</f>
        <v xml:space="preserve">գ․Փ․Սեպասար </v>
      </c>
      <c r="C10" s="7" t="str">
        <f>'[1]Փ. Սեպասար '!C19</f>
        <v>Մանուշ Ամրոյան  Վարազդատի</v>
      </c>
      <c r="D10" s="7" t="str">
        <f>'[1]Փ. Սեպասար '!D19</f>
        <v>AF0704223</v>
      </c>
      <c r="E10" s="7">
        <f>'[1]Փ. Սեպասար '!E19</f>
        <v>61</v>
      </c>
      <c r="F10" s="7" t="str">
        <f>'[1]Փ. Սեպասար '!F19</f>
        <v xml:space="preserve">գ․Փ․Սեպասար </v>
      </c>
      <c r="G10" s="7">
        <v>77003543</v>
      </c>
      <c r="H10" s="21">
        <v>1.0109999999999999</v>
      </c>
      <c r="I10" s="17" t="s">
        <v>84</v>
      </c>
      <c r="J10" s="21">
        <v>0</v>
      </c>
      <c r="K10" s="21">
        <v>1</v>
      </c>
      <c r="L10" s="19"/>
      <c r="M10" s="22">
        <v>0</v>
      </c>
      <c r="N10" s="22">
        <v>0</v>
      </c>
      <c r="O10" s="65">
        <v>0</v>
      </c>
      <c r="P10" s="7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6">
        <v>5</v>
      </c>
      <c r="B11" s="85" t="str">
        <f>'[1]Փ. Սեպասար '!B21</f>
        <v xml:space="preserve">գ․Փ․Սեպասար </v>
      </c>
      <c r="C11" s="85" t="str">
        <f>'[1]Փ. Սեպասար '!C21</f>
        <v>Էդգար Մարտիրոսի Թովմասյան</v>
      </c>
      <c r="D11" s="64" t="str">
        <f>'[1]Փ. Սեպասար '!D21</f>
        <v>AG0284883</v>
      </c>
      <c r="E11" s="64">
        <f>'[1]Փ. Սեպասար '!E21</f>
        <v>33</v>
      </c>
      <c r="F11" s="64" t="str">
        <f>'[1]Փ. Սեպասար '!F21</f>
        <v xml:space="preserve">գ․Փ․Սեպասար </v>
      </c>
      <c r="G11" s="64">
        <v>93993908</v>
      </c>
      <c r="H11" s="66">
        <v>1.5109999999999999</v>
      </c>
      <c r="I11" s="17" t="s">
        <v>331</v>
      </c>
      <c r="J11" s="66">
        <v>1</v>
      </c>
      <c r="K11" s="66">
        <v>2</v>
      </c>
      <c r="L11" s="31"/>
      <c r="M11" s="23">
        <v>2</v>
      </c>
      <c r="N11" s="22">
        <v>0</v>
      </c>
      <c r="O11" s="65">
        <v>0</v>
      </c>
      <c r="P11" s="4"/>
      <c r="Q11" s="4"/>
    </row>
    <row r="12" spans="1:48" ht="14.25" customHeight="1" x14ac:dyDescent="0.25">
      <c r="A12" s="6">
        <v>6</v>
      </c>
      <c r="B12" s="86" t="str">
        <f>'[1]Փ. Սեպասար '!B22</f>
        <v xml:space="preserve">գ․Փ․Սեպասար </v>
      </c>
      <c r="C12" s="86" t="str">
        <f>'[1]Փ. Սեպասար '!C22</f>
        <v>Անահիտ Խաչիկի Սարգսյան</v>
      </c>
      <c r="D12" s="7" t="str">
        <f>'[1]Փ. Սեպասար '!D22</f>
        <v>AC0489691</v>
      </c>
      <c r="E12" s="7">
        <f>'[1]Փ. Սեպասար '!E22</f>
        <v>54</v>
      </c>
      <c r="F12" s="7" t="str">
        <f>'[1]Փ. Սեպասար '!F22</f>
        <v xml:space="preserve">գ․Փ․Սեպասար </v>
      </c>
      <c r="G12" s="7">
        <v>99660776</v>
      </c>
      <c r="H12" s="21">
        <v>1.0029999999999999</v>
      </c>
      <c r="I12" s="17" t="s">
        <v>331</v>
      </c>
      <c r="J12" s="21">
        <v>0</v>
      </c>
      <c r="K12" s="21">
        <v>4</v>
      </c>
      <c r="L12" s="19"/>
      <c r="M12" s="22">
        <v>5</v>
      </c>
      <c r="N12" s="22">
        <v>0</v>
      </c>
      <c r="O12" s="65">
        <v>0</v>
      </c>
      <c r="P12" s="4"/>
      <c r="Q12" s="4"/>
    </row>
    <row r="13" spans="1:48" x14ac:dyDescent="0.25">
      <c r="A13" s="6">
        <v>7</v>
      </c>
      <c r="B13" s="7" t="str">
        <f>'[1]Փ. Սեպասար '!B23</f>
        <v xml:space="preserve">գ․Փ․Սեպասար </v>
      </c>
      <c r="C13" s="7" t="str">
        <f>'[1]Փ. Սեպասար '!C23</f>
        <v>Արամայիս Ալեքսանի Սողոյան</v>
      </c>
      <c r="D13" s="7" t="str">
        <f>'[1]Փ. Սեպասար '!D23</f>
        <v>AA0435588</v>
      </c>
      <c r="E13" s="7">
        <f>'[1]Փ. Սեպասար '!E23</f>
        <v>60</v>
      </c>
      <c r="F13" s="7" t="str">
        <f>'[1]Փ. Սեպասար '!F23</f>
        <v xml:space="preserve">գ․Փ․Սեպասար </v>
      </c>
      <c r="G13" s="7">
        <v>94754012</v>
      </c>
      <c r="H13" s="21">
        <v>1.5</v>
      </c>
      <c r="I13" s="17" t="s">
        <v>331</v>
      </c>
      <c r="J13" s="21">
        <v>0</v>
      </c>
      <c r="K13" s="21">
        <v>4</v>
      </c>
      <c r="L13" s="19"/>
      <c r="M13" s="22">
        <v>2</v>
      </c>
      <c r="N13" s="22">
        <v>0</v>
      </c>
      <c r="O13" s="65">
        <v>0</v>
      </c>
      <c r="P13" s="4"/>
      <c r="Q13" s="4"/>
    </row>
    <row r="14" spans="1:48" x14ac:dyDescent="0.25">
      <c r="A14" s="6">
        <v>8</v>
      </c>
      <c r="B14" s="7" t="str">
        <f>'[1]Փ. Սեպասար '!B24</f>
        <v xml:space="preserve">գ․Փ․Սեպասար </v>
      </c>
      <c r="C14" s="7" t="str">
        <f>'[1]Փ. Սեպասար '!C24</f>
        <v>Հարություն Ռոբերտի Սարգսյան</v>
      </c>
      <c r="D14" s="7" t="str">
        <f>'[1]Փ. Սեպասար '!D24</f>
        <v>AM0225531</v>
      </c>
      <c r="E14" s="7">
        <f>'[1]Փ. Սեպասար '!E24</f>
        <v>35</v>
      </c>
      <c r="F14" s="7" t="str">
        <f>'[1]Փ. Սեպասար '!F24</f>
        <v xml:space="preserve">գ․Փ․Սեպասար </v>
      </c>
      <c r="G14" s="7">
        <v>94427469</v>
      </c>
      <c r="H14" s="66">
        <v>1.276</v>
      </c>
      <c r="I14" s="17" t="s">
        <v>331</v>
      </c>
      <c r="J14" s="66">
        <v>0</v>
      </c>
      <c r="K14" s="66">
        <v>3</v>
      </c>
      <c r="L14" s="31"/>
      <c r="M14" s="23">
        <v>2</v>
      </c>
      <c r="N14" s="22">
        <v>0</v>
      </c>
      <c r="O14" s="65">
        <v>0</v>
      </c>
      <c r="P14" s="4"/>
      <c r="Q14" s="4"/>
    </row>
    <row r="15" spans="1:48" x14ac:dyDescent="0.25">
      <c r="A15" s="6">
        <v>9</v>
      </c>
      <c r="B15" s="7" t="str">
        <f>'[1]Փ. Սեպասար '!B25</f>
        <v xml:space="preserve">գ․Փ․Սեպասար </v>
      </c>
      <c r="C15" s="7" t="str">
        <f>'[1]Փ. Սեպասար '!C25</f>
        <v>Մարիամ Եղիշի Դանիելյան</v>
      </c>
      <c r="D15" s="7" t="str">
        <f>'[1]Փ. Սեպասար '!D25</f>
        <v>AB0577669</v>
      </c>
      <c r="E15" s="7">
        <f>'[1]Փ. Սեպասար '!E25</f>
        <v>61</v>
      </c>
      <c r="F15" s="7" t="str">
        <f>'[1]Փ. Սեպասար '!F25</f>
        <v xml:space="preserve">գ․Փ․Սեպասար </v>
      </c>
      <c r="G15" s="7">
        <v>77102957</v>
      </c>
      <c r="H15" s="21">
        <v>2.5499999999999998</v>
      </c>
      <c r="I15" s="17" t="s">
        <v>84</v>
      </c>
      <c r="J15" s="21">
        <v>1</v>
      </c>
      <c r="K15" s="21">
        <v>2</v>
      </c>
      <c r="L15" s="31" t="s">
        <v>83</v>
      </c>
      <c r="M15" s="22">
        <v>3</v>
      </c>
      <c r="N15" s="22">
        <v>1</v>
      </c>
      <c r="O15" s="65">
        <v>0</v>
      </c>
      <c r="P15" s="4"/>
      <c r="Q15" s="4"/>
    </row>
    <row r="16" spans="1:48" x14ac:dyDescent="0.25">
      <c r="A16" s="6">
        <v>10</v>
      </c>
      <c r="B16" s="7" t="str">
        <f>'[1]Փ. Սեպասար '!B26</f>
        <v xml:space="preserve">գ․Փ․Սեպասար </v>
      </c>
      <c r="C16" s="7" t="str">
        <f>'[1]Փ. Սեպասար '!C26</f>
        <v>Սերոբ Միսակի Մելիքյան</v>
      </c>
      <c r="D16" s="7" t="str">
        <f>'[1]Փ. Սեպասար '!D26</f>
        <v>AN0390566</v>
      </c>
      <c r="E16" s="7">
        <f>'[1]Փ. Սեպասար '!E26</f>
        <v>61</v>
      </c>
      <c r="F16" s="7" t="str">
        <f>'[1]Փ. Սեպասար '!F26</f>
        <v xml:space="preserve">գ․Փ․Սեպասար </v>
      </c>
      <c r="G16" s="7">
        <v>93828616</v>
      </c>
      <c r="H16" s="21">
        <v>2.0819999999999999</v>
      </c>
      <c r="I16" s="17" t="s">
        <v>331</v>
      </c>
      <c r="J16" s="21">
        <v>1</v>
      </c>
      <c r="K16" s="21">
        <v>4</v>
      </c>
      <c r="L16" s="19"/>
      <c r="M16" s="22">
        <v>2</v>
      </c>
      <c r="N16" s="22">
        <v>0</v>
      </c>
      <c r="O16" s="65">
        <v>0</v>
      </c>
      <c r="P16" s="4"/>
      <c r="Q16" s="4"/>
    </row>
    <row r="17" spans="1:17" x14ac:dyDescent="0.25">
      <c r="A17" s="6">
        <v>11</v>
      </c>
      <c r="B17" s="7" t="str">
        <f>'[1]Փ. Սեպասար '!B27</f>
        <v xml:space="preserve">գ․Փ․Սեպասար </v>
      </c>
      <c r="C17" s="7" t="str">
        <f>'[1]Փ. Սեպասար '!C27</f>
        <v>Լեվոն Խաչատուրի Սարգսյան</v>
      </c>
      <c r="D17" s="7" t="str">
        <f>'[1]Փ. Սեպասար '!D27</f>
        <v>AK0293326</v>
      </c>
      <c r="E17" s="7">
        <f>'[1]Փ. Սեպասար '!E27</f>
        <v>57</v>
      </c>
      <c r="F17" s="7" t="str">
        <f>'[1]Փ. Սեպասար '!F27</f>
        <v xml:space="preserve">գ․Փ․Սեպասար </v>
      </c>
      <c r="G17" s="7">
        <v>98499468</v>
      </c>
      <c r="H17" s="66">
        <v>2.2000000000000002</v>
      </c>
      <c r="I17" s="17" t="s">
        <v>84</v>
      </c>
      <c r="J17" s="66">
        <v>1</v>
      </c>
      <c r="K17" s="66">
        <v>3</v>
      </c>
      <c r="L17" s="31"/>
      <c r="M17" s="23">
        <v>0</v>
      </c>
      <c r="N17" s="22">
        <v>0</v>
      </c>
      <c r="O17" s="65">
        <v>0</v>
      </c>
      <c r="P17" s="4"/>
      <c r="Q17" s="4"/>
    </row>
    <row r="18" spans="1:17" x14ac:dyDescent="0.25">
      <c r="A18" s="6">
        <v>12</v>
      </c>
      <c r="B18" s="86" t="str">
        <f>'[1]Փ. Սեպասար '!B28</f>
        <v xml:space="preserve">գ․Փ․Սեպասար </v>
      </c>
      <c r="C18" s="86" t="str">
        <f>'[1]Փ. Սեպասար '!C28</f>
        <v>Սամվել Կարապետի Կարապետյան</v>
      </c>
      <c r="D18" s="7" t="str">
        <f>'[1]Փ. Սեպասար '!D28</f>
        <v>AN0362370</v>
      </c>
      <c r="E18" s="7">
        <f>'[1]Փ. Սեպասար '!E28</f>
        <v>39</v>
      </c>
      <c r="F18" s="7" t="str">
        <f>'[1]Փ. Սեպասար '!F28</f>
        <v xml:space="preserve">գ․Փ․Սեպասար </v>
      </c>
      <c r="G18" s="7">
        <v>94067502</v>
      </c>
      <c r="H18" s="21">
        <v>2.468</v>
      </c>
      <c r="I18" s="17" t="s">
        <v>84</v>
      </c>
      <c r="J18" s="21">
        <v>0</v>
      </c>
      <c r="K18" s="21">
        <v>4</v>
      </c>
      <c r="L18" s="19"/>
      <c r="M18" s="22">
        <v>4</v>
      </c>
      <c r="N18" s="22">
        <v>0</v>
      </c>
      <c r="O18" s="65">
        <v>0</v>
      </c>
      <c r="P18" s="4"/>
      <c r="Q18" s="4"/>
    </row>
    <row r="19" spans="1:17" x14ac:dyDescent="0.25">
      <c r="A19" s="6">
        <v>13</v>
      </c>
      <c r="B19" s="86" t="str">
        <f>'[1]Փ. Սեպասար '!B29</f>
        <v xml:space="preserve">գ․Փ․Սեպասար </v>
      </c>
      <c r="C19" s="86" t="str">
        <f>'[1]Փ. Սեպասար '!C29</f>
        <v>Կարեն Նահապետի Կարապետյան</v>
      </c>
      <c r="D19" s="7" t="str">
        <f>'[1]Փ. Սեպասար '!D29</f>
        <v>AN0394883</v>
      </c>
      <c r="E19" s="7">
        <f>'[1]Փ. Սեպասար '!E29</f>
        <v>42</v>
      </c>
      <c r="F19" s="7" t="str">
        <f>'[1]Փ. Սեպասար '!F29</f>
        <v xml:space="preserve">գ․Փ․Սեպասար </v>
      </c>
      <c r="G19" s="7">
        <v>77175165</v>
      </c>
      <c r="H19" s="66">
        <v>0.99299999999999999</v>
      </c>
      <c r="I19" s="17" t="s">
        <v>84</v>
      </c>
      <c r="J19" s="66">
        <v>0</v>
      </c>
      <c r="K19" s="66">
        <v>4</v>
      </c>
      <c r="L19" s="31"/>
      <c r="M19" s="23">
        <v>4</v>
      </c>
      <c r="N19" s="22">
        <v>0</v>
      </c>
      <c r="O19" s="65">
        <v>0</v>
      </c>
      <c r="P19" s="4"/>
      <c r="Q19" s="4"/>
    </row>
    <row r="20" spans="1:17" x14ac:dyDescent="0.25">
      <c r="A20" s="6">
        <v>14</v>
      </c>
      <c r="B20" s="7" t="str">
        <f>'[1]Փ. Սեպասար '!B30</f>
        <v xml:space="preserve">գ․Փ․Սեպասար </v>
      </c>
      <c r="C20" s="7" t="str">
        <f>'[1]Փ. Սեպասար '!C30</f>
        <v>Արարատ Վարազդատի Ամրոյան</v>
      </c>
      <c r="D20" s="7" t="str">
        <f>'[1]Փ. Սեպասար '!D30</f>
        <v>AN0470952</v>
      </c>
      <c r="E20" s="7">
        <f>'[1]Փ. Սեպասար '!E30</f>
        <v>58</v>
      </c>
      <c r="F20" s="7" t="str">
        <f>'[1]Փ. Սեպասար '!F30</f>
        <v xml:space="preserve">գ․Փ․Սեպասար </v>
      </c>
      <c r="G20" s="7">
        <v>77003543</v>
      </c>
      <c r="H20" s="21">
        <v>0.96399999999999997</v>
      </c>
      <c r="I20" s="17" t="s">
        <v>331</v>
      </c>
      <c r="J20" s="21">
        <v>1</v>
      </c>
      <c r="K20" s="21">
        <v>4</v>
      </c>
      <c r="L20" s="19"/>
      <c r="M20" s="22">
        <v>2</v>
      </c>
      <c r="N20" s="22">
        <v>0</v>
      </c>
      <c r="O20" s="65">
        <v>0</v>
      </c>
      <c r="P20" s="4"/>
      <c r="Q20" s="4"/>
    </row>
    <row r="21" spans="1:17" x14ac:dyDescent="0.25">
      <c r="A21" s="6">
        <v>15</v>
      </c>
      <c r="B21" s="7" t="str">
        <f>'[1]Փ. Սեպասար '!B31</f>
        <v xml:space="preserve">գ․Փ․Սեպասար </v>
      </c>
      <c r="C21" s="7" t="str">
        <f>'[1]Փ. Սեպասար '!C31</f>
        <v>Սամվել Ռուբիկի Մելիքյան</v>
      </c>
      <c r="D21" s="7" t="str">
        <f>'[1]Փ. Սեպասար '!D31</f>
        <v>AH0526239</v>
      </c>
      <c r="E21" s="7">
        <f>'[1]Փ. Սեպասար '!E31</f>
        <v>60</v>
      </c>
      <c r="F21" s="7" t="str">
        <f>'[1]Փ. Սեպասար '!F31</f>
        <v xml:space="preserve">գ․Փ․Սեպասար </v>
      </c>
      <c r="G21" s="7">
        <v>94131979</v>
      </c>
      <c r="H21" s="21">
        <v>1.504</v>
      </c>
      <c r="I21" s="17" t="s">
        <v>331</v>
      </c>
      <c r="J21" s="21">
        <v>0</v>
      </c>
      <c r="K21" s="21">
        <v>4</v>
      </c>
      <c r="L21" s="19"/>
      <c r="M21" s="22">
        <v>2</v>
      </c>
      <c r="N21" s="22">
        <v>0</v>
      </c>
      <c r="O21" s="65">
        <v>0</v>
      </c>
      <c r="P21" s="4"/>
      <c r="Q21" s="4"/>
    </row>
    <row r="22" spans="1:17" x14ac:dyDescent="0.25">
      <c r="A22" s="6">
        <v>16</v>
      </c>
      <c r="B22" s="7" t="str">
        <f>'[1]Փ. Սեպասար '!B32</f>
        <v xml:space="preserve">գ․Փ․Սեպասար </v>
      </c>
      <c r="C22" s="7" t="str">
        <f>'[1]Փ. Սեպասար '!C32</f>
        <v>Սեյրան Արշալույսի Մինասյան</v>
      </c>
      <c r="D22" s="7" t="str">
        <f>'[1]Փ. Սեպասար '!D32</f>
        <v>AK0461951</v>
      </c>
      <c r="E22" s="7">
        <f>'[1]Փ. Սեպասար '!E32</f>
        <v>51</v>
      </c>
      <c r="F22" s="7" t="str">
        <f>'[1]Փ. Սեպասար '!F32</f>
        <v xml:space="preserve">գ․Փ․Սեպասար </v>
      </c>
      <c r="G22" s="7">
        <v>93656977</v>
      </c>
      <c r="H22" s="66">
        <v>1.478</v>
      </c>
      <c r="I22" s="17" t="s">
        <v>331</v>
      </c>
      <c r="J22" s="66">
        <v>2</v>
      </c>
      <c r="K22" s="66">
        <v>2</v>
      </c>
      <c r="L22" s="31"/>
      <c r="M22" s="23">
        <v>1</v>
      </c>
      <c r="N22" s="22">
        <v>0</v>
      </c>
      <c r="O22" s="65">
        <v>0</v>
      </c>
      <c r="P22" s="4"/>
      <c r="Q22" s="4"/>
    </row>
    <row r="23" spans="1:17" x14ac:dyDescent="0.25">
      <c r="A23" s="6">
        <v>17</v>
      </c>
      <c r="B23" s="86" t="str">
        <f>'[1]Փ. Սեպասար '!B33</f>
        <v xml:space="preserve">գ․Փ․Սեպասար </v>
      </c>
      <c r="C23" s="86" t="str">
        <f>'[1]Փ. Սեպասար '!C33</f>
        <v>Աշոտ Գեղեցիկի Գասպարյան</v>
      </c>
      <c r="D23" s="7" t="str">
        <f>'[1]Փ. Սեպասար '!D33</f>
        <v>AM0406499</v>
      </c>
      <c r="E23" s="7">
        <f>'[1]Փ. Սեպասար '!E33</f>
        <v>58</v>
      </c>
      <c r="F23" s="7" t="str">
        <f>'[1]Փ. Սեպասար '!F33</f>
        <v xml:space="preserve">գ․Փ․Սեպասար </v>
      </c>
      <c r="G23" s="7">
        <v>94090585</v>
      </c>
      <c r="H23" s="21">
        <v>1.5669999999999999</v>
      </c>
      <c r="I23" s="17" t="s">
        <v>84</v>
      </c>
      <c r="J23" s="21">
        <v>0</v>
      </c>
      <c r="K23" s="21">
        <v>6</v>
      </c>
      <c r="L23" s="19"/>
      <c r="M23" s="22">
        <v>5</v>
      </c>
      <c r="N23" s="22">
        <v>0</v>
      </c>
      <c r="O23" s="65">
        <v>0</v>
      </c>
      <c r="P23" s="4"/>
      <c r="Q23" s="4"/>
    </row>
    <row r="24" spans="1:17" x14ac:dyDescent="0.25">
      <c r="A24" s="6">
        <v>18</v>
      </c>
      <c r="B24" s="86" t="str">
        <f>'[1]Փ. Սեպասար '!B34</f>
        <v xml:space="preserve">գ․Փ․Սեպասար </v>
      </c>
      <c r="C24" s="86" t="str">
        <f>'[1]Փ. Սեպասար '!C34</f>
        <v>Հարություն Անդրանիկի Ղուկասյան</v>
      </c>
      <c r="D24" s="7" t="str">
        <f>'[1]Փ. Սեպասար '!D34</f>
        <v>AH0552374</v>
      </c>
      <c r="E24" s="7">
        <f>'[1]Փ. Սեպասար '!E34</f>
        <v>59</v>
      </c>
      <c r="F24" s="7" t="str">
        <f>'[1]Փ. Սեպասար '!F34</f>
        <v xml:space="preserve">գ․Փ․Սեպասար </v>
      </c>
      <c r="G24" s="7">
        <v>94203225</v>
      </c>
      <c r="H24" s="21">
        <v>1.4990000000000001</v>
      </c>
      <c r="I24" s="17" t="s">
        <v>84</v>
      </c>
      <c r="J24" s="21">
        <v>1</v>
      </c>
      <c r="K24" s="21">
        <v>1</v>
      </c>
      <c r="L24" s="19"/>
      <c r="M24" s="22">
        <v>0</v>
      </c>
      <c r="N24" s="22">
        <v>0</v>
      </c>
      <c r="O24" s="65">
        <v>0</v>
      </c>
      <c r="P24" s="4"/>
      <c r="Q24" s="4"/>
    </row>
    <row r="25" spans="1:17" x14ac:dyDescent="0.25">
      <c r="A25" s="6">
        <v>19</v>
      </c>
      <c r="B25" s="7" t="str">
        <f>'[1]Փ. Սեպասար '!B35</f>
        <v xml:space="preserve">գ․Փ․Սեպասար </v>
      </c>
      <c r="C25" s="7" t="str">
        <f>'[1]Փ. Սեպասար '!C35</f>
        <v>Խուրշուդյան  Մարիետա Մկրտչի</v>
      </c>
      <c r="D25" s="7" t="str">
        <f>'[1]Փ. Սեպասար '!D35</f>
        <v>AN0248513</v>
      </c>
      <c r="E25" s="7">
        <f>'[1]Փ. Սեպասար '!E35</f>
        <v>61</v>
      </c>
      <c r="F25" s="7" t="str">
        <f>'[1]Փ. Սեպասար '!F35</f>
        <v xml:space="preserve">գ․Փ․Սեպասար </v>
      </c>
      <c r="G25" s="7">
        <v>93755687</v>
      </c>
      <c r="H25" s="66">
        <v>2.0209999999999999</v>
      </c>
      <c r="I25" s="17" t="s">
        <v>84</v>
      </c>
      <c r="J25" s="66">
        <v>1</v>
      </c>
      <c r="K25" s="66">
        <v>3</v>
      </c>
      <c r="L25" s="31"/>
      <c r="M25" s="23">
        <v>1</v>
      </c>
      <c r="N25" s="22">
        <v>0</v>
      </c>
      <c r="O25" s="65">
        <v>0</v>
      </c>
      <c r="P25" s="4"/>
      <c r="Q25" s="4"/>
    </row>
    <row r="26" spans="1:17" x14ac:dyDescent="0.25">
      <c r="A26" s="6">
        <v>20</v>
      </c>
      <c r="B26" s="7" t="str">
        <f>'[1]Փ. Սեպասար '!B36</f>
        <v xml:space="preserve">գ․Փ․Սեպասար </v>
      </c>
      <c r="C26" s="7" t="str">
        <f>'[1]Փ. Սեպասար '!C36</f>
        <v>Հարություն Արշալույսի Մինասյան</v>
      </c>
      <c r="D26" s="7" t="str">
        <f>'[1]Փ. Սեպասար '!D36</f>
        <v>AH0344531</v>
      </c>
      <c r="E26" s="7">
        <f>'[1]Փ. Սեպասար '!E36</f>
        <v>54</v>
      </c>
      <c r="F26" s="7" t="str">
        <f>'[1]Փ. Սեպասար '!F36</f>
        <v xml:space="preserve">գ․Փ․Սեպասար </v>
      </c>
      <c r="G26" s="7">
        <v>98447543</v>
      </c>
      <c r="H26" s="21">
        <v>1.579</v>
      </c>
      <c r="I26" s="17" t="s">
        <v>331</v>
      </c>
      <c r="J26" s="21">
        <v>2</v>
      </c>
      <c r="K26" s="21">
        <v>2</v>
      </c>
      <c r="L26" s="19" t="s">
        <v>83</v>
      </c>
      <c r="M26" s="22">
        <v>2</v>
      </c>
      <c r="N26" s="22">
        <v>1</v>
      </c>
      <c r="O26" s="65">
        <v>0</v>
      </c>
      <c r="P26" s="4"/>
      <c r="Q26" s="4"/>
    </row>
    <row r="27" spans="1:17" x14ac:dyDescent="0.25">
      <c r="A27" s="6">
        <v>21</v>
      </c>
      <c r="B27" s="86" t="str">
        <f>'[1]Փ. Սեպասար '!B37</f>
        <v xml:space="preserve">գ․Փ․Սեպասար </v>
      </c>
      <c r="C27" s="86" t="str">
        <f>'[1]Փ. Սեպասար '!C37</f>
        <v>Հռիփսիկ Սահակի Սահակյան</v>
      </c>
      <c r="D27" s="7" t="str">
        <f>'[1]Փ. Սեպասար '!D37</f>
        <v>AA0435581</v>
      </c>
      <c r="E27" s="7">
        <f>'[1]Փ. Սեպասար '!E37</f>
        <v>59</v>
      </c>
      <c r="F27" s="7" t="str">
        <f>'[1]Փ. Սեպասար '!F37</f>
        <v xml:space="preserve">գ․Փ․Սեպասար </v>
      </c>
      <c r="G27" s="7">
        <v>94966273</v>
      </c>
      <c r="H27" s="21">
        <v>1.548</v>
      </c>
      <c r="I27" s="17" t="s">
        <v>331</v>
      </c>
      <c r="J27" s="21">
        <v>0</v>
      </c>
      <c r="K27" s="21">
        <v>5</v>
      </c>
      <c r="L27" s="19"/>
      <c r="M27" s="22">
        <v>2</v>
      </c>
      <c r="N27" s="22">
        <v>0</v>
      </c>
      <c r="O27" s="65">
        <v>0</v>
      </c>
      <c r="P27" s="4"/>
      <c r="Q27" s="4"/>
    </row>
    <row r="28" spans="1:17" x14ac:dyDescent="0.25">
      <c r="A28" s="6">
        <v>22</v>
      </c>
      <c r="B28" s="7" t="str">
        <f>'[1]Փ. Սեպասար '!B38</f>
        <v xml:space="preserve">գ․Փ․Սեպասար </v>
      </c>
      <c r="C28" s="7" t="str">
        <f>'[1]Փ. Սեպասար '!C38</f>
        <v>Երվանդ Ալեքսանի Ալեքսանյան</v>
      </c>
      <c r="D28" s="7" t="str">
        <f>'[1]Փ. Սեպասար '!D38</f>
        <v>AN0211076</v>
      </c>
      <c r="E28" s="7">
        <f>'[1]Փ. Սեպասար '!E38</f>
        <v>56</v>
      </c>
      <c r="F28" s="7" t="str">
        <f>'[1]Փ. Սեպասար '!F38</f>
        <v xml:space="preserve">գ․Փ․Սեպասար </v>
      </c>
      <c r="G28" s="7">
        <v>98517954</v>
      </c>
      <c r="H28" s="66">
        <v>1.573</v>
      </c>
      <c r="I28" s="17" t="s">
        <v>331</v>
      </c>
      <c r="J28" s="66">
        <v>1</v>
      </c>
      <c r="K28" s="66">
        <v>2</v>
      </c>
      <c r="L28" s="31"/>
      <c r="M28" s="23">
        <v>0</v>
      </c>
      <c r="N28" s="22">
        <v>0</v>
      </c>
      <c r="O28" s="65">
        <v>0</v>
      </c>
      <c r="P28" s="4"/>
      <c r="Q28" s="4"/>
    </row>
    <row r="29" spans="1:17" x14ac:dyDescent="0.25">
      <c r="A29" s="6">
        <v>23</v>
      </c>
      <c r="B29" s="7" t="str">
        <f>'[1]Փ. Սեպասար '!B39</f>
        <v xml:space="preserve">գ․Փ․Սեպասար </v>
      </c>
      <c r="C29" s="7" t="str">
        <f>'[1]Փ. Սեպասար '!C39</f>
        <v>Հովհաննես Արշալույսի Մինասյան</v>
      </c>
      <c r="D29" s="7" t="str">
        <f>'[1]Փ. Սեպասար '!D39</f>
        <v>AK0461950</v>
      </c>
      <c r="E29" s="7">
        <f>'[1]Փ. Սեպասար '!E39</f>
        <v>53</v>
      </c>
      <c r="F29" s="7" t="str">
        <f>'[1]Փ. Սեպասար '!F39</f>
        <v xml:space="preserve">գ․Փ․Սեպասար </v>
      </c>
      <c r="G29" s="7">
        <v>93656977</v>
      </c>
      <c r="H29" s="21">
        <v>0.5</v>
      </c>
      <c r="I29" s="17" t="s">
        <v>331</v>
      </c>
      <c r="J29" s="21">
        <v>3</v>
      </c>
      <c r="K29" s="21">
        <v>2</v>
      </c>
      <c r="L29" s="19"/>
      <c r="M29" s="22">
        <v>0</v>
      </c>
      <c r="N29" s="22">
        <v>0</v>
      </c>
      <c r="O29" s="65">
        <v>0</v>
      </c>
      <c r="P29" s="4"/>
      <c r="Q29" s="4"/>
    </row>
    <row r="30" spans="1:17" x14ac:dyDescent="0.25">
      <c r="A30" s="6">
        <v>24</v>
      </c>
      <c r="B30" s="7" t="str">
        <f>'[1]Փ. Սեպասար '!B40</f>
        <v xml:space="preserve">գ․Փ․Սեպասար </v>
      </c>
      <c r="C30" s="7" t="str">
        <f>'[1]Փ. Սեպասար '!C40</f>
        <v>Շուշան Միսակի Սարգսյան</v>
      </c>
      <c r="D30" s="7" t="str">
        <f>'[1]Փ. Սեպասար '!D40</f>
        <v>AM0395786</v>
      </c>
      <c r="E30" s="7">
        <f>'[1]Փ. Սեպասար '!E40</f>
        <v>58</v>
      </c>
      <c r="F30" s="7" t="str">
        <f>'[1]Փ. Սեպասար '!F40</f>
        <v xml:space="preserve">գ․Փ․Սեպասար </v>
      </c>
      <c r="G30" s="7">
        <v>93184065</v>
      </c>
      <c r="H30" s="21">
        <v>2.5</v>
      </c>
      <c r="I30" s="17" t="s">
        <v>227</v>
      </c>
      <c r="J30" s="21">
        <v>0</v>
      </c>
      <c r="K30" s="21">
        <v>3</v>
      </c>
      <c r="L30" s="19"/>
      <c r="M30" s="22">
        <v>2</v>
      </c>
      <c r="N30" s="22">
        <v>1</v>
      </c>
      <c r="O30" s="65">
        <v>0</v>
      </c>
      <c r="P30" s="4"/>
      <c r="Q30" s="4"/>
    </row>
    <row r="31" spans="1:17" x14ac:dyDescent="0.25">
      <c r="A31" s="6">
        <v>25</v>
      </c>
      <c r="B31" s="7" t="str">
        <f>'[1]Փ. Սեպասար '!B41</f>
        <v xml:space="preserve">գ․Փ․Սեպասար </v>
      </c>
      <c r="C31" s="7" t="str">
        <f>'[1]Փ. Սեպասար '!C41</f>
        <v>Խաչիկ Մերուժանի Սահակյան</v>
      </c>
      <c r="D31" s="7" t="str">
        <f>'[1]Փ. Սեպասար '!D41</f>
        <v>008304354</v>
      </c>
      <c r="E31" s="7">
        <f>'[1]Փ. Սեպասար '!E41</f>
        <v>42</v>
      </c>
      <c r="F31" s="7" t="str">
        <f>'[1]Փ. Սեպասար '!F41</f>
        <v xml:space="preserve">գ․Փ․Սեպասար </v>
      </c>
      <c r="G31" s="7">
        <v>94341432</v>
      </c>
      <c r="H31" s="21">
        <v>1.528</v>
      </c>
      <c r="I31" s="17" t="s">
        <v>331</v>
      </c>
      <c r="J31" s="66">
        <v>1</v>
      </c>
      <c r="K31" s="66">
        <v>4</v>
      </c>
      <c r="L31" s="31"/>
      <c r="M31" s="23">
        <v>3</v>
      </c>
      <c r="N31" s="22">
        <v>0</v>
      </c>
      <c r="O31" s="65">
        <v>0</v>
      </c>
      <c r="P31" s="4"/>
      <c r="Q31" s="4"/>
    </row>
    <row r="32" spans="1:17" x14ac:dyDescent="0.25">
      <c r="A32" s="6">
        <v>26</v>
      </c>
      <c r="B32" s="7" t="str">
        <f>'[1]Փ. Սեպասար '!B42</f>
        <v xml:space="preserve">գ․Փ․Սեպասար </v>
      </c>
      <c r="C32" s="7" t="str">
        <f>'[1]Փ. Սեպասար '!C42</f>
        <v>Գրիգոր Սարգիսի Մինասյան</v>
      </c>
      <c r="D32" s="7" t="str">
        <f>'[1]Փ. Սեպասար '!D42</f>
        <v>AP0673432</v>
      </c>
      <c r="E32" s="7">
        <f>'[1]Փ. Սեպասար '!E42</f>
        <v>54</v>
      </c>
      <c r="F32" s="7" t="str">
        <f>'[1]Փ. Սեպասար '!F42</f>
        <v xml:space="preserve">գ․Փ․Սեպասար </v>
      </c>
      <c r="G32" s="7">
        <v>93005345</v>
      </c>
      <c r="H32" s="21">
        <v>1.365</v>
      </c>
      <c r="I32" s="17" t="s">
        <v>84</v>
      </c>
      <c r="J32" s="21">
        <v>0</v>
      </c>
      <c r="K32" s="21">
        <v>2</v>
      </c>
      <c r="L32" s="19"/>
      <c r="M32" s="22">
        <v>0</v>
      </c>
      <c r="N32" s="22">
        <v>0</v>
      </c>
      <c r="O32" s="65">
        <v>0</v>
      </c>
      <c r="P32" s="4"/>
      <c r="Q32" s="4"/>
    </row>
    <row r="33" spans="1:17" x14ac:dyDescent="0.25">
      <c r="A33" s="6">
        <v>27</v>
      </c>
      <c r="B33" s="7" t="str">
        <f>'[1]Փ. Սեպասար '!B43</f>
        <v xml:space="preserve">գ․Փ․Սեպասար </v>
      </c>
      <c r="C33" s="7" t="str">
        <f>'[1]Փ. Սեպասար '!C43</f>
        <v>Անդրանիկ Սարգիսի Մինասյան</v>
      </c>
      <c r="D33" s="7" t="str">
        <f>'[1]Փ. Սեպասար '!D43</f>
        <v>AP0542699</v>
      </c>
      <c r="E33" s="7">
        <f>'[1]Փ. Սեպասար '!E43</f>
        <v>49</v>
      </c>
      <c r="F33" s="7" t="str">
        <f>'[1]Փ. Սեպասար '!F43</f>
        <v xml:space="preserve">գ․Փ․Սեպասար </v>
      </c>
      <c r="G33" s="7">
        <v>94683413</v>
      </c>
      <c r="H33" s="21">
        <v>2.661</v>
      </c>
      <c r="I33" s="17" t="s">
        <v>84</v>
      </c>
      <c r="J33" s="21">
        <v>0</v>
      </c>
      <c r="K33" s="21">
        <v>2</v>
      </c>
      <c r="L33" s="19" t="s">
        <v>83</v>
      </c>
      <c r="M33" s="22">
        <v>2</v>
      </c>
      <c r="N33" s="22">
        <v>0</v>
      </c>
      <c r="O33" s="65">
        <v>0</v>
      </c>
      <c r="P33" s="4"/>
      <c r="Q33" s="4"/>
    </row>
    <row r="34" spans="1:17" x14ac:dyDescent="0.25">
      <c r="A34" s="6">
        <v>29</v>
      </c>
      <c r="B34" s="86" t="str">
        <f>'[1]Փ. Սեպասար '!B45</f>
        <v xml:space="preserve">գ․Փ․Սեպասար </v>
      </c>
      <c r="C34" s="86" t="str">
        <f>'[1]Փ. Սեպասար '!C45</f>
        <v>Հովհաննես Ալեքսանի Ալեքսանյան</v>
      </c>
      <c r="D34" s="7" t="str">
        <f>'[1]Փ. Սեպասար '!D45</f>
        <v>AM0377681</v>
      </c>
      <c r="E34" s="7">
        <f>'[1]Փ. Սեպասար '!E45</f>
        <v>57</v>
      </c>
      <c r="F34" s="7" t="str">
        <f>'[1]Փ. Սեպասար '!F45</f>
        <v xml:space="preserve">գ․Փ․Սեպասար </v>
      </c>
      <c r="G34" s="7"/>
      <c r="H34" s="21">
        <v>1.552</v>
      </c>
      <c r="I34" s="17" t="s">
        <v>84</v>
      </c>
      <c r="J34" s="21">
        <v>0</v>
      </c>
      <c r="K34" s="21">
        <v>3</v>
      </c>
      <c r="L34" s="19"/>
      <c r="M34" s="22">
        <v>0</v>
      </c>
      <c r="N34" s="22">
        <v>0</v>
      </c>
      <c r="O34" s="65">
        <v>0</v>
      </c>
      <c r="P34" s="4"/>
      <c r="Q34" s="4"/>
    </row>
    <row r="35" spans="1:17" x14ac:dyDescent="0.25">
      <c r="A35" s="6">
        <v>30</v>
      </c>
      <c r="B35" s="86" t="str">
        <f>'[1]Փ. Սեպասար '!B46</f>
        <v xml:space="preserve">գ․Փ․Սեպասար </v>
      </c>
      <c r="C35" s="86" t="str">
        <f>'[1]Փ. Սեպասար '!C46</f>
        <v>Համլետ Սարգիսի Մինասյան</v>
      </c>
      <c r="D35" s="7" t="str">
        <f>'[1]Փ. Սեպասար '!D46</f>
        <v>AA0435587</v>
      </c>
      <c r="E35" s="7">
        <f>'[1]Փ. Սեպասար '!E46</f>
        <v>56</v>
      </c>
      <c r="F35" s="7" t="str">
        <f>'[1]Փ. Սեպասար '!F46</f>
        <v xml:space="preserve">գ․Փ․Սեպասար </v>
      </c>
      <c r="G35" s="7">
        <v>77261063</v>
      </c>
      <c r="H35" s="21">
        <v>1.5</v>
      </c>
      <c r="I35" s="17" t="s">
        <v>331</v>
      </c>
      <c r="J35" s="21">
        <v>0</v>
      </c>
      <c r="K35" s="21">
        <v>5</v>
      </c>
      <c r="L35" s="19"/>
      <c r="M35" s="22">
        <v>2</v>
      </c>
      <c r="N35" s="22">
        <v>0</v>
      </c>
      <c r="O35" s="65">
        <v>0</v>
      </c>
      <c r="P35" s="4"/>
      <c r="Q35" s="4"/>
    </row>
    <row r="36" spans="1:17" x14ac:dyDescent="0.25">
      <c r="A36" s="6">
        <v>31</v>
      </c>
      <c r="B36" s="86" t="str">
        <f>'[1]Փ. Սեպասար '!B47</f>
        <v xml:space="preserve">գ․Փ․Սեպասար </v>
      </c>
      <c r="C36" s="86" t="str">
        <f>'[1]Փ. Սեպասար '!C47</f>
        <v>Դավիթ Պատվականի Մկրտչյան</v>
      </c>
      <c r="D36" s="7" t="str">
        <f>'[1]Փ. Սեպասար '!D47</f>
        <v>006311773</v>
      </c>
      <c r="E36" s="7">
        <f>'[1]Փ. Սեպասար '!E47</f>
        <v>47</v>
      </c>
      <c r="F36" s="7" t="str">
        <f>'[1]Փ. Սեպասար '!F47</f>
        <v xml:space="preserve">գ․Փ․Սեպասար </v>
      </c>
      <c r="G36" s="7">
        <v>93184740</v>
      </c>
      <c r="H36" s="21">
        <v>2.024</v>
      </c>
      <c r="I36" s="17" t="s">
        <v>331</v>
      </c>
      <c r="J36" s="21">
        <v>2</v>
      </c>
      <c r="K36" s="21">
        <v>6</v>
      </c>
      <c r="L36" s="19"/>
      <c r="M36" s="22">
        <v>1</v>
      </c>
      <c r="N36" s="22">
        <v>0</v>
      </c>
      <c r="O36" s="65">
        <v>0</v>
      </c>
      <c r="P36" s="4"/>
      <c r="Q36" s="4"/>
    </row>
    <row r="37" spans="1:17" x14ac:dyDescent="0.25">
      <c r="A37" s="6">
        <v>32</v>
      </c>
      <c r="B37" s="7" t="str">
        <f>'[1]Փ. Սեպասար '!B48</f>
        <v xml:space="preserve">գ․Փ․Սեպասար </v>
      </c>
      <c r="C37" s="7" t="str">
        <f>'[1]Փ. Սեպասար '!C48</f>
        <v>Արմեն Մարտիրոսի Թովմասյան</v>
      </c>
      <c r="D37" s="7" t="str">
        <f>'[1]Փ. Սեպասար '!D48</f>
        <v>AK0672991</v>
      </c>
      <c r="E37" s="7">
        <f>'[1]Փ. Սեպասար '!E48</f>
        <v>39</v>
      </c>
      <c r="F37" s="7" t="str">
        <f>'[1]Փ. Սեպասար '!F48</f>
        <v xml:space="preserve">գ․Փ․Սեպասար </v>
      </c>
      <c r="G37" s="7">
        <v>94053575</v>
      </c>
      <c r="H37" s="66">
        <v>1.0649999999999999</v>
      </c>
      <c r="I37" s="17" t="s">
        <v>331</v>
      </c>
      <c r="J37" s="66">
        <v>0</v>
      </c>
      <c r="K37" s="66">
        <v>2</v>
      </c>
      <c r="L37" s="31"/>
      <c r="M37" s="23">
        <v>3</v>
      </c>
      <c r="N37" s="22">
        <v>0</v>
      </c>
      <c r="O37" s="65">
        <v>0</v>
      </c>
      <c r="P37" s="4"/>
      <c r="Q37" s="4"/>
    </row>
    <row r="38" spans="1:17" x14ac:dyDescent="0.25">
      <c r="A38" s="6">
        <v>33</v>
      </c>
      <c r="B38" s="7" t="str">
        <f>'[1]Փ. Սեպասար '!B49</f>
        <v xml:space="preserve">գ․Փ․Սեպասար </v>
      </c>
      <c r="C38" s="7" t="str">
        <f>'[1]Փ. Սեպասար '!C49</f>
        <v>Ալիկ Իսկոսի Մելիքյան</v>
      </c>
      <c r="D38" s="7" t="str">
        <f>'[1]Փ. Սեպասար '!D49</f>
        <v>009836719</v>
      </c>
      <c r="E38" s="7">
        <f>'[1]Փ. Սեպասար '!E49</f>
        <v>39</v>
      </c>
      <c r="F38" s="7" t="str">
        <f>'[1]Փ. Սեպասար '!F49</f>
        <v xml:space="preserve">գ․Փ․Սեպասար </v>
      </c>
      <c r="G38" s="7">
        <v>77952654</v>
      </c>
      <c r="H38" s="21">
        <v>1.577</v>
      </c>
      <c r="I38" s="17" t="s">
        <v>227</v>
      </c>
      <c r="J38" s="21">
        <v>0</v>
      </c>
      <c r="K38" s="21">
        <v>3</v>
      </c>
      <c r="L38" s="19" t="s">
        <v>83</v>
      </c>
      <c r="M38" s="22">
        <v>4</v>
      </c>
      <c r="N38" s="22">
        <v>1</v>
      </c>
      <c r="O38" s="65">
        <v>0</v>
      </c>
      <c r="P38" s="4"/>
      <c r="Q38" s="4"/>
    </row>
    <row r="39" spans="1:17" x14ac:dyDescent="0.25">
      <c r="A39" s="63">
        <v>34</v>
      </c>
      <c r="B39" s="7" t="str">
        <f>'[1]Փ. Սեպասար '!B50</f>
        <v xml:space="preserve">գ․Փ․Սեպասար </v>
      </c>
      <c r="C39" s="7" t="str">
        <f>'[1]Փ. Սեպասար '!C50</f>
        <v>Ալվարդ Հմայակի Աթոյան</v>
      </c>
      <c r="D39" s="7" t="str">
        <f>'[1]Փ. Սեպասար '!D50</f>
        <v>AA0435569</v>
      </c>
      <c r="E39" s="7">
        <f>'[1]Փ. Սեպասար '!E50</f>
        <v>56</v>
      </c>
      <c r="F39" s="7" t="str">
        <f>'[1]Փ. Սեպասար '!F50</f>
        <v xml:space="preserve">գ․Փ․Սեպասար </v>
      </c>
      <c r="G39" s="7">
        <v>77373128</v>
      </c>
      <c r="H39" s="66">
        <v>0.75</v>
      </c>
      <c r="I39" s="17" t="s">
        <v>331</v>
      </c>
      <c r="J39" s="66">
        <v>0</v>
      </c>
      <c r="K39" s="66">
        <v>1</v>
      </c>
      <c r="L39" s="31" t="s">
        <v>83</v>
      </c>
      <c r="M39" s="23">
        <v>0</v>
      </c>
      <c r="N39" s="22">
        <v>1</v>
      </c>
      <c r="O39" s="65">
        <v>0</v>
      </c>
      <c r="P39" s="4"/>
      <c r="Q39" s="4"/>
    </row>
    <row r="40" spans="1:17" x14ac:dyDescent="0.25">
      <c r="A40" s="63">
        <v>35</v>
      </c>
      <c r="B40" s="7" t="str">
        <f>'[1]Փ. Սեպասար '!B51</f>
        <v xml:space="preserve">գ․Փ․Սեպասար </v>
      </c>
      <c r="C40" s="7" t="str">
        <f>'[1]Փ. Սեպասար '!C51</f>
        <v>Թամարա Հմայակի Աթոյան</v>
      </c>
      <c r="D40" s="7" t="str">
        <f>'[1]Փ. Սեպասար '!D51</f>
        <v>AN0285243</v>
      </c>
      <c r="E40" s="7">
        <f>'[1]Փ. Սեպասար '!E51</f>
        <v>61</v>
      </c>
      <c r="F40" s="7" t="str">
        <f>'[1]Փ. Սեպասար '!F51</f>
        <v xml:space="preserve">գ․Փ․Սեպասար </v>
      </c>
      <c r="G40" s="7">
        <v>77373128</v>
      </c>
      <c r="H40" s="21">
        <v>0.75</v>
      </c>
      <c r="I40" s="17" t="s">
        <v>331</v>
      </c>
      <c r="J40" s="21">
        <v>0</v>
      </c>
      <c r="K40" s="21">
        <v>1</v>
      </c>
      <c r="L40" s="19"/>
      <c r="M40" s="22">
        <v>0</v>
      </c>
      <c r="N40" s="22">
        <v>0</v>
      </c>
      <c r="O40" s="65">
        <v>0</v>
      </c>
      <c r="P40" s="4"/>
      <c r="Q40" s="4"/>
    </row>
    <row r="46" spans="1:17" x14ac:dyDescent="0.25">
      <c r="B46" s="91" t="s">
        <v>19</v>
      </c>
      <c r="C46" s="91"/>
      <c r="D46" s="91"/>
      <c r="E46" s="91"/>
      <c r="F46" s="91"/>
      <c r="G46" s="91"/>
      <c r="H46" s="91"/>
      <c r="I46" s="91"/>
    </row>
    <row r="48" spans="1:17" x14ac:dyDescent="0.25">
      <c r="C48" s="20"/>
      <c r="D48" s="20"/>
      <c r="E48" s="20"/>
      <c r="F48" s="20"/>
      <c r="G48" s="20"/>
      <c r="H48" s="20"/>
      <c r="I48" s="20"/>
      <c r="J48" s="20"/>
    </row>
  </sheetData>
  <mergeCells count="14">
    <mergeCell ref="I5:I6"/>
    <mergeCell ref="J5:K5"/>
    <mergeCell ref="L5:Q5"/>
    <mergeCell ref="B46:I46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"/>
  <sheetViews>
    <sheetView topLeftCell="A4" workbookViewId="0">
      <selection activeCell="A5" sqref="A5:A6"/>
    </sheetView>
  </sheetViews>
  <sheetFormatPr defaultColWidth="5.85546875" defaultRowHeight="13.5" x14ac:dyDescent="0.25"/>
  <cols>
    <col min="1" max="1" width="4.140625" style="1" customWidth="1"/>
    <col min="2" max="2" width="11.7109375" style="1" customWidth="1"/>
    <col min="3" max="3" width="30.5703125" style="1" customWidth="1"/>
    <col min="4" max="4" width="13.7109375" style="1" customWidth="1"/>
    <col min="5" max="5" width="7.85546875" style="1" customWidth="1"/>
    <col min="6" max="6" width="10.2851562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48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48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48" s="2" customFormat="1" ht="120" customHeight="1" x14ac:dyDescent="0.25">
      <c r="A5" s="98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48" ht="166.5" customHeight="1" x14ac:dyDescent="0.25">
      <c r="A6" s="99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48" ht="13.9" customHeight="1" x14ac:dyDescent="0.2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</row>
    <row r="8" spans="1:48" x14ac:dyDescent="0.25">
      <c r="A8" s="6">
        <v>1</v>
      </c>
      <c r="B8" s="17" t="s">
        <v>228</v>
      </c>
      <c r="C8" s="17" t="s">
        <v>229</v>
      </c>
      <c r="D8" s="67" t="s">
        <v>230</v>
      </c>
      <c r="E8" s="17">
        <v>58</v>
      </c>
      <c r="F8" s="17" t="s">
        <v>228</v>
      </c>
      <c r="G8" s="7">
        <v>98774548</v>
      </c>
      <c r="H8" s="21">
        <v>2.89</v>
      </c>
      <c r="I8" s="17" t="s">
        <v>82</v>
      </c>
      <c r="J8" s="21">
        <v>2</v>
      </c>
      <c r="K8" s="21">
        <v>2</v>
      </c>
      <c r="L8" s="19" t="s">
        <v>83</v>
      </c>
      <c r="M8" s="22">
        <v>0</v>
      </c>
      <c r="N8" s="22">
        <v>0</v>
      </c>
      <c r="O8" s="7">
        <v>0</v>
      </c>
      <c r="P8" s="7"/>
      <c r="Q8" s="7"/>
    </row>
    <row r="9" spans="1:48" ht="15" customHeight="1" x14ac:dyDescent="0.25">
      <c r="A9" s="8">
        <v>2</v>
      </c>
      <c r="B9" s="17" t="s">
        <v>228</v>
      </c>
      <c r="C9" s="17" t="s">
        <v>231</v>
      </c>
      <c r="D9" s="67" t="s">
        <v>232</v>
      </c>
      <c r="E9" s="17">
        <v>56</v>
      </c>
      <c r="F9" s="17" t="s">
        <v>228</v>
      </c>
      <c r="G9" s="9">
        <v>93398821</v>
      </c>
      <c r="H9" s="21">
        <v>2.9</v>
      </c>
      <c r="I9" s="17" t="s">
        <v>244</v>
      </c>
      <c r="J9" s="21">
        <v>4</v>
      </c>
      <c r="K9" s="21">
        <v>2</v>
      </c>
      <c r="L9" s="19"/>
      <c r="M9" s="22">
        <v>0</v>
      </c>
      <c r="N9" s="22">
        <v>1</v>
      </c>
      <c r="O9" s="7">
        <v>0</v>
      </c>
      <c r="P9" s="9"/>
      <c r="Q9" s="9"/>
    </row>
    <row r="10" spans="1:48" s="4" customFormat="1" x14ac:dyDescent="0.25">
      <c r="A10" s="6">
        <v>3</v>
      </c>
      <c r="B10" s="17" t="s">
        <v>228</v>
      </c>
      <c r="C10" s="17" t="s">
        <v>233</v>
      </c>
      <c r="D10" s="67" t="s">
        <v>234</v>
      </c>
      <c r="E10" s="17">
        <v>40</v>
      </c>
      <c r="F10" s="17" t="s">
        <v>228</v>
      </c>
      <c r="G10" s="7">
        <v>77406168</v>
      </c>
      <c r="H10" s="21">
        <v>2</v>
      </c>
      <c r="I10" s="17" t="s">
        <v>82</v>
      </c>
      <c r="J10" s="21">
        <v>0</v>
      </c>
      <c r="K10" s="21">
        <v>2</v>
      </c>
      <c r="L10" s="19" t="s">
        <v>83</v>
      </c>
      <c r="M10" s="22">
        <v>3</v>
      </c>
      <c r="N10" s="22">
        <v>0</v>
      </c>
      <c r="O10" s="7">
        <v>0</v>
      </c>
      <c r="P10" s="7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63">
        <v>4</v>
      </c>
      <c r="B11" s="17" t="s">
        <v>228</v>
      </c>
      <c r="C11" s="17" t="s">
        <v>235</v>
      </c>
      <c r="D11" s="67" t="s">
        <v>236</v>
      </c>
      <c r="E11" s="17">
        <v>51</v>
      </c>
      <c r="F11" s="17" t="s">
        <v>228</v>
      </c>
      <c r="G11" s="7">
        <v>94677453</v>
      </c>
      <c r="H11" s="21">
        <v>3</v>
      </c>
      <c r="I11" s="17" t="s">
        <v>244</v>
      </c>
      <c r="J11" s="21">
        <v>1</v>
      </c>
      <c r="K11" s="21">
        <v>2</v>
      </c>
      <c r="L11" s="19"/>
      <c r="M11" s="22">
        <v>0</v>
      </c>
      <c r="N11" s="22">
        <v>0</v>
      </c>
      <c r="O11" s="7">
        <v>0</v>
      </c>
      <c r="P11" s="4"/>
      <c r="Q11" s="4"/>
    </row>
    <row r="12" spans="1:48" x14ac:dyDescent="0.25">
      <c r="A12" s="63">
        <v>5</v>
      </c>
      <c r="B12" s="17" t="s">
        <v>237</v>
      </c>
      <c r="C12" s="17" t="s">
        <v>238</v>
      </c>
      <c r="D12" s="67" t="s">
        <v>239</v>
      </c>
      <c r="E12" s="17">
        <v>55</v>
      </c>
      <c r="F12" s="17" t="s">
        <v>237</v>
      </c>
      <c r="G12" s="64">
        <v>93176838</v>
      </c>
      <c r="H12" s="21">
        <v>2.7890000000000001</v>
      </c>
      <c r="I12" s="17" t="s">
        <v>244</v>
      </c>
      <c r="J12" s="21">
        <v>1</v>
      </c>
      <c r="K12" s="21">
        <v>2</v>
      </c>
      <c r="L12" s="19" t="s">
        <v>83</v>
      </c>
      <c r="M12" s="22">
        <v>0</v>
      </c>
      <c r="N12" s="22">
        <v>0</v>
      </c>
      <c r="O12" s="7">
        <v>0</v>
      </c>
      <c r="P12" s="4"/>
      <c r="Q12" s="4"/>
    </row>
    <row r="13" spans="1:48" ht="14.25" customHeight="1" x14ac:dyDescent="0.25">
      <c r="A13" s="63">
        <v>6</v>
      </c>
      <c r="B13" s="17" t="s">
        <v>237</v>
      </c>
      <c r="C13" s="17" t="s">
        <v>240</v>
      </c>
      <c r="D13" s="67" t="s">
        <v>241</v>
      </c>
      <c r="E13" s="17">
        <v>63</v>
      </c>
      <c r="F13" s="17" t="s">
        <v>237</v>
      </c>
      <c r="G13" s="7">
        <v>77764401</v>
      </c>
      <c r="H13" s="21">
        <v>2.141</v>
      </c>
      <c r="I13" s="17" t="s">
        <v>244</v>
      </c>
      <c r="J13" s="21">
        <v>0</v>
      </c>
      <c r="K13" s="21">
        <v>1</v>
      </c>
      <c r="L13" s="19"/>
      <c r="M13" s="22">
        <v>0</v>
      </c>
      <c r="N13" s="22">
        <v>0</v>
      </c>
      <c r="O13" s="7">
        <v>0</v>
      </c>
      <c r="P13" s="4"/>
      <c r="Q13" s="4"/>
    </row>
    <row r="14" spans="1:48" x14ac:dyDescent="0.25">
      <c r="A14" s="63">
        <v>7</v>
      </c>
      <c r="B14" s="17" t="s">
        <v>237</v>
      </c>
      <c r="C14" s="17" t="s">
        <v>242</v>
      </c>
      <c r="D14" s="67" t="s">
        <v>243</v>
      </c>
      <c r="E14" s="17">
        <v>44</v>
      </c>
      <c r="F14" s="17" t="s">
        <v>237</v>
      </c>
      <c r="G14" s="7">
        <v>98563010</v>
      </c>
      <c r="H14" s="21">
        <v>2.3140000000000001</v>
      </c>
      <c r="I14" s="17" t="s">
        <v>244</v>
      </c>
      <c r="J14" s="21">
        <v>3</v>
      </c>
      <c r="K14" s="21">
        <v>2</v>
      </c>
      <c r="L14" s="19"/>
      <c r="M14" s="22">
        <v>0</v>
      </c>
      <c r="N14" s="22">
        <v>0</v>
      </c>
      <c r="O14" s="7">
        <v>0</v>
      </c>
      <c r="P14" s="4"/>
      <c r="Q14" s="4"/>
    </row>
    <row r="17" spans="2:9" x14ac:dyDescent="0.25">
      <c r="B17" s="20"/>
      <c r="C17" s="20"/>
      <c r="D17" s="20"/>
      <c r="E17" s="20"/>
      <c r="F17" s="20"/>
      <c r="G17" s="20"/>
      <c r="H17" s="20"/>
      <c r="I17" s="20"/>
    </row>
    <row r="20" spans="2:9" x14ac:dyDescent="0.25">
      <c r="B20" s="91" t="s">
        <v>19</v>
      </c>
      <c r="C20" s="91"/>
      <c r="D20" s="91"/>
      <c r="E20" s="91"/>
      <c r="F20" s="91"/>
      <c r="G20" s="91"/>
      <c r="H20" s="91"/>
      <c r="I20" s="91"/>
    </row>
  </sheetData>
  <mergeCells count="14">
    <mergeCell ref="I5:I6"/>
    <mergeCell ref="J5:K5"/>
    <mergeCell ref="L5:Q5"/>
    <mergeCell ref="B20:I20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4"/>
  <sheetViews>
    <sheetView topLeftCell="A13" workbookViewId="0">
      <selection activeCell="A5" sqref="A5:A6"/>
    </sheetView>
  </sheetViews>
  <sheetFormatPr defaultRowHeight="13.5" x14ac:dyDescent="0.25"/>
  <cols>
    <col min="1" max="1" width="4.140625" style="1" customWidth="1"/>
    <col min="2" max="2" width="11.7109375" style="1" customWidth="1"/>
    <col min="3" max="3" width="27.5703125" style="1" customWidth="1"/>
    <col min="4" max="4" width="13.7109375" style="1" customWidth="1"/>
    <col min="5" max="5" width="7.85546875" style="1" customWidth="1"/>
    <col min="6" max="6" width="10.2851562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9.140625" style="1"/>
  </cols>
  <sheetData>
    <row r="1" spans="1:48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48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48" s="2" customFormat="1" ht="120" customHeight="1" x14ac:dyDescent="0.25">
      <c r="A5" s="98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48" ht="166.5" customHeight="1" x14ac:dyDescent="0.25">
      <c r="A6" s="99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48" ht="13.9" customHeight="1" x14ac:dyDescent="0.25">
      <c r="A7" s="68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8">
        <v>7</v>
      </c>
      <c r="H7" s="68">
        <v>8</v>
      </c>
      <c r="I7" s="68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</row>
    <row r="8" spans="1:48" x14ac:dyDescent="0.25">
      <c r="A8" s="6">
        <v>1</v>
      </c>
      <c r="B8" s="79" t="s">
        <v>345</v>
      </c>
      <c r="C8" s="82" t="s">
        <v>334</v>
      </c>
      <c r="D8" s="80" t="s">
        <v>335</v>
      </c>
      <c r="E8" s="82">
        <v>56</v>
      </c>
      <c r="F8" s="82" t="s">
        <v>245</v>
      </c>
      <c r="G8" s="82">
        <v>77364807</v>
      </c>
      <c r="H8" s="81">
        <v>1.8</v>
      </c>
      <c r="I8" s="82" t="s">
        <v>331</v>
      </c>
      <c r="J8" s="81">
        <v>0</v>
      </c>
      <c r="K8" s="81">
        <v>2</v>
      </c>
      <c r="L8" s="79"/>
      <c r="M8" s="83">
        <v>2</v>
      </c>
      <c r="N8" s="83">
        <v>0</v>
      </c>
      <c r="O8" s="78">
        <v>0</v>
      </c>
      <c r="P8" s="78"/>
      <c r="Q8" s="78"/>
      <c r="R8" s="5"/>
    </row>
    <row r="9" spans="1:48" ht="15" customHeight="1" x14ac:dyDescent="0.25">
      <c r="A9" s="6">
        <v>2</v>
      </c>
      <c r="B9" s="79" t="s">
        <v>345</v>
      </c>
      <c r="C9" s="82" t="s">
        <v>246</v>
      </c>
      <c r="D9" s="80" t="s">
        <v>247</v>
      </c>
      <c r="E9" s="82">
        <v>25</v>
      </c>
      <c r="F9" s="82" t="s">
        <v>245</v>
      </c>
      <c r="G9" s="82">
        <v>98599834</v>
      </c>
      <c r="H9" s="81">
        <v>1.907</v>
      </c>
      <c r="I9" s="82" t="s">
        <v>331</v>
      </c>
      <c r="J9" s="81">
        <v>1</v>
      </c>
      <c r="K9" s="81">
        <v>1</v>
      </c>
      <c r="L9" s="79"/>
      <c r="M9" s="83">
        <v>0</v>
      </c>
      <c r="N9" s="83">
        <v>1</v>
      </c>
      <c r="O9" s="78">
        <v>0</v>
      </c>
      <c r="P9" s="78"/>
      <c r="Q9" s="78"/>
      <c r="R9" s="5"/>
    </row>
    <row r="10" spans="1:48" s="4" customFormat="1" x14ac:dyDescent="0.25">
      <c r="A10" s="6">
        <v>3</v>
      </c>
      <c r="B10" s="79" t="s">
        <v>345</v>
      </c>
      <c r="C10" s="82" t="s">
        <v>248</v>
      </c>
      <c r="D10" s="80" t="s">
        <v>249</v>
      </c>
      <c r="E10" s="82">
        <v>60</v>
      </c>
      <c r="F10" s="82" t="s">
        <v>245</v>
      </c>
      <c r="G10" s="82">
        <v>93301669</v>
      </c>
      <c r="H10" s="81">
        <v>0.81499999999999995</v>
      </c>
      <c r="I10" s="82" t="s">
        <v>331</v>
      </c>
      <c r="J10" s="81">
        <v>0</v>
      </c>
      <c r="K10" s="81">
        <v>2</v>
      </c>
      <c r="L10" s="79"/>
      <c r="M10" s="83">
        <v>1</v>
      </c>
      <c r="N10" s="83">
        <v>0</v>
      </c>
      <c r="O10" s="78">
        <v>0</v>
      </c>
      <c r="P10" s="78"/>
      <c r="Q10" s="7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6">
        <v>4</v>
      </c>
      <c r="B11" s="79" t="s">
        <v>345</v>
      </c>
      <c r="C11" s="82" t="s">
        <v>250</v>
      </c>
      <c r="D11" s="80" t="s">
        <v>251</v>
      </c>
      <c r="E11" s="82">
        <v>54</v>
      </c>
      <c r="F11" s="82" t="s">
        <v>245</v>
      </c>
      <c r="G11" s="82">
        <v>93835046</v>
      </c>
      <c r="H11" s="81">
        <v>1.4319999999999999</v>
      </c>
      <c r="I11" s="82" t="s">
        <v>82</v>
      </c>
      <c r="J11" s="81">
        <v>1</v>
      </c>
      <c r="K11" s="81">
        <v>2</v>
      </c>
      <c r="L11" s="79" t="s">
        <v>83</v>
      </c>
      <c r="M11" s="83">
        <v>0</v>
      </c>
      <c r="N11" s="83">
        <v>1</v>
      </c>
      <c r="O11" s="78">
        <v>0</v>
      </c>
      <c r="P11" s="78"/>
      <c r="Q11" s="78"/>
      <c r="R11" s="5"/>
    </row>
    <row r="12" spans="1:48" x14ac:dyDescent="0.25">
      <c r="A12" s="6">
        <v>5</v>
      </c>
      <c r="B12" s="79" t="s">
        <v>345</v>
      </c>
      <c r="C12" s="82" t="s">
        <v>252</v>
      </c>
      <c r="D12" s="80" t="s">
        <v>253</v>
      </c>
      <c r="E12" s="82">
        <v>35</v>
      </c>
      <c r="F12" s="82" t="s">
        <v>245</v>
      </c>
      <c r="G12" s="82">
        <v>98929656</v>
      </c>
      <c r="H12" s="81">
        <v>1.504</v>
      </c>
      <c r="I12" s="82" t="s">
        <v>82</v>
      </c>
      <c r="J12" s="81">
        <v>1</v>
      </c>
      <c r="K12" s="81">
        <v>3</v>
      </c>
      <c r="L12" s="79"/>
      <c r="M12" s="83">
        <v>1</v>
      </c>
      <c r="N12" s="83">
        <v>1</v>
      </c>
      <c r="O12" s="78">
        <v>0</v>
      </c>
      <c r="P12" s="78"/>
      <c r="Q12" s="78"/>
      <c r="R12" s="5"/>
    </row>
    <row r="13" spans="1:48" ht="14.25" customHeight="1" x14ac:dyDescent="0.25">
      <c r="A13" s="6">
        <v>6</v>
      </c>
      <c r="B13" s="79" t="s">
        <v>345</v>
      </c>
      <c r="C13" s="82" t="s">
        <v>254</v>
      </c>
      <c r="D13" s="80" t="s">
        <v>255</v>
      </c>
      <c r="E13" s="82">
        <v>53</v>
      </c>
      <c r="F13" s="82" t="s">
        <v>245</v>
      </c>
      <c r="G13" s="82">
        <v>93209300</v>
      </c>
      <c r="H13" s="81">
        <v>2.9620000000000002</v>
      </c>
      <c r="I13" s="82" t="s">
        <v>331</v>
      </c>
      <c r="J13" s="81"/>
      <c r="K13" s="81">
        <v>3</v>
      </c>
      <c r="L13" s="79"/>
      <c r="M13" s="83">
        <v>0</v>
      </c>
      <c r="N13" s="83">
        <v>0</v>
      </c>
      <c r="O13" s="78">
        <v>0</v>
      </c>
      <c r="P13" s="78"/>
      <c r="Q13" s="78"/>
      <c r="R13" s="5"/>
    </row>
    <row r="14" spans="1:48" x14ac:dyDescent="0.25">
      <c r="A14" s="6">
        <v>7</v>
      </c>
      <c r="B14" s="79" t="s">
        <v>345</v>
      </c>
      <c r="C14" s="82" t="s">
        <v>256</v>
      </c>
      <c r="D14" s="80" t="s">
        <v>257</v>
      </c>
      <c r="E14" s="82">
        <v>38</v>
      </c>
      <c r="F14" s="82" t="s">
        <v>245</v>
      </c>
      <c r="G14" s="82">
        <v>94660107</v>
      </c>
      <c r="H14" s="81">
        <v>1.7150000000000001</v>
      </c>
      <c r="I14" s="82" t="s">
        <v>82</v>
      </c>
      <c r="J14" s="81">
        <v>0</v>
      </c>
      <c r="K14" s="81">
        <v>2</v>
      </c>
      <c r="L14" s="79"/>
      <c r="M14" s="83">
        <v>2</v>
      </c>
      <c r="N14" s="83">
        <v>0</v>
      </c>
      <c r="O14" s="78">
        <v>0</v>
      </c>
      <c r="P14" s="78"/>
      <c r="Q14" s="78"/>
      <c r="R14" s="5"/>
    </row>
    <row r="15" spans="1:48" x14ac:dyDescent="0.25">
      <c r="A15" s="6">
        <v>8</v>
      </c>
      <c r="B15" s="79" t="s">
        <v>345</v>
      </c>
      <c r="C15" s="82" t="s">
        <v>258</v>
      </c>
      <c r="D15" s="80" t="s">
        <v>259</v>
      </c>
      <c r="E15" s="82">
        <v>57</v>
      </c>
      <c r="F15" s="82" t="s">
        <v>245</v>
      </c>
      <c r="G15" s="82">
        <v>77555273</v>
      </c>
      <c r="H15" s="81">
        <v>1.446</v>
      </c>
      <c r="I15" s="82" t="s">
        <v>82</v>
      </c>
      <c r="J15" s="81">
        <v>2</v>
      </c>
      <c r="K15" s="81">
        <v>4</v>
      </c>
      <c r="L15" s="79"/>
      <c r="M15" s="83">
        <v>1</v>
      </c>
      <c r="N15" s="83">
        <v>0</v>
      </c>
      <c r="O15" s="78">
        <v>0</v>
      </c>
      <c r="P15" s="78"/>
      <c r="Q15" s="78"/>
      <c r="R15" s="5"/>
    </row>
    <row r="16" spans="1:48" x14ac:dyDescent="0.25">
      <c r="A16" s="6">
        <v>9</v>
      </c>
      <c r="B16" s="79" t="s">
        <v>345</v>
      </c>
      <c r="C16" s="82" t="s">
        <v>260</v>
      </c>
      <c r="D16" s="80" t="s">
        <v>261</v>
      </c>
      <c r="E16" s="82">
        <v>49</v>
      </c>
      <c r="F16" s="82" t="s">
        <v>245</v>
      </c>
      <c r="G16" s="82">
        <v>98484643</v>
      </c>
      <c r="H16" s="81">
        <v>1.3620000000000001</v>
      </c>
      <c r="I16" s="82" t="s">
        <v>331</v>
      </c>
      <c r="J16" s="81">
        <v>0</v>
      </c>
      <c r="K16" s="81">
        <v>2</v>
      </c>
      <c r="L16" s="79"/>
      <c r="M16" s="83">
        <v>2</v>
      </c>
      <c r="N16" s="83">
        <v>0</v>
      </c>
      <c r="O16" s="78">
        <v>0</v>
      </c>
      <c r="P16" s="78"/>
      <c r="Q16" s="78"/>
      <c r="R16" s="5"/>
    </row>
    <row r="17" spans="1:18" x14ac:dyDescent="0.25">
      <c r="A17" s="6">
        <v>10</v>
      </c>
      <c r="B17" s="79" t="s">
        <v>345</v>
      </c>
      <c r="C17" s="82" t="s">
        <v>262</v>
      </c>
      <c r="D17" s="80" t="s">
        <v>263</v>
      </c>
      <c r="E17" s="82">
        <v>61</v>
      </c>
      <c r="F17" s="82" t="s">
        <v>245</v>
      </c>
      <c r="G17" s="82">
        <v>94544588</v>
      </c>
      <c r="H17" s="81">
        <v>2.7</v>
      </c>
      <c r="I17" s="82" t="s">
        <v>331</v>
      </c>
      <c r="J17" s="81">
        <v>2</v>
      </c>
      <c r="K17" s="81">
        <v>2</v>
      </c>
      <c r="L17" s="79"/>
      <c r="M17" s="83">
        <v>0</v>
      </c>
      <c r="N17" s="83">
        <v>0</v>
      </c>
      <c r="O17" s="78">
        <v>0</v>
      </c>
      <c r="P17" s="78"/>
      <c r="Q17" s="78"/>
      <c r="R17" s="5"/>
    </row>
    <row r="18" spans="1:18" x14ac:dyDescent="0.25">
      <c r="A18" s="6">
        <v>11</v>
      </c>
      <c r="B18" s="79" t="s">
        <v>345</v>
      </c>
      <c r="C18" s="82" t="s">
        <v>264</v>
      </c>
      <c r="D18" s="80" t="s">
        <v>265</v>
      </c>
      <c r="E18" s="82">
        <v>48</v>
      </c>
      <c r="F18" s="82" t="s">
        <v>245</v>
      </c>
      <c r="G18" s="82">
        <v>94322868</v>
      </c>
      <c r="H18" s="81">
        <v>1.3280000000000001</v>
      </c>
      <c r="I18" s="82" t="s">
        <v>331</v>
      </c>
      <c r="J18" s="81">
        <v>0</v>
      </c>
      <c r="K18" s="81">
        <v>2</v>
      </c>
      <c r="L18" s="79" t="s">
        <v>83</v>
      </c>
      <c r="M18" s="83">
        <v>3</v>
      </c>
      <c r="N18" s="83">
        <v>0</v>
      </c>
      <c r="O18" s="78">
        <v>0</v>
      </c>
      <c r="P18" s="78"/>
      <c r="Q18" s="78"/>
      <c r="R18" s="5"/>
    </row>
    <row r="19" spans="1:18" x14ac:dyDescent="0.25">
      <c r="A19" s="6">
        <v>12</v>
      </c>
      <c r="B19" s="79" t="s">
        <v>345</v>
      </c>
      <c r="C19" s="82" t="s">
        <v>266</v>
      </c>
      <c r="D19" s="80" t="s">
        <v>267</v>
      </c>
      <c r="E19" s="82">
        <v>30</v>
      </c>
      <c r="F19" s="82" t="s">
        <v>245</v>
      </c>
      <c r="G19" s="82">
        <v>77767661</v>
      </c>
      <c r="H19" s="81">
        <v>1.5249999999999999</v>
      </c>
      <c r="I19" s="82" t="s">
        <v>331</v>
      </c>
      <c r="J19" s="81">
        <v>2</v>
      </c>
      <c r="K19" s="81">
        <v>0</v>
      </c>
      <c r="L19" s="79"/>
      <c r="M19" s="83">
        <v>2</v>
      </c>
      <c r="N19" s="83">
        <v>0</v>
      </c>
      <c r="O19" s="78">
        <v>0</v>
      </c>
      <c r="P19" s="78"/>
      <c r="Q19" s="78"/>
      <c r="R19" s="5"/>
    </row>
    <row r="20" spans="1:18" x14ac:dyDescent="0.25">
      <c r="A20" s="6">
        <v>13</v>
      </c>
      <c r="B20" s="79" t="s">
        <v>345</v>
      </c>
      <c r="C20" s="82" t="s">
        <v>268</v>
      </c>
      <c r="D20" s="80" t="s">
        <v>269</v>
      </c>
      <c r="E20" s="82">
        <v>56</v>
      </c>
      <c r="F20" s="82" t="s">
        <v>245</v>
      </c>
      <c r="G20" s="82">
        <v>98257595</v>
      </c>
      <c r="H20" s="81">
        <v>2.2999999999999998</v>
      </c>
      <c r="I20" s="82" t="s">
        <v>331</v>
      </c>
      <c r="J20" s="81">
        <v>0</v>
      </c>
      <c r="K20" s="81">
        <v>2</v>
      </c>
      <c r="L20" s="79"/>
      <c r="M20" s="83">
        <v>1</v>
      </c>
      <c r="N20" s="83">
        <v>1</v>
      </c>
      <c r="O20" s="78">
        <v>0</v>
      </c>
      <c r="P20" s="78"/>
      <c r="Q20" s="78"/>
      <c r="R20" s="5"/>
    </row>
    <row r="21" spans="1:18" x14ac:dyDescent="0.25">
      <c r="A21" s="6">
        <v>14</v>
      </c>
      <c r="B21" s="79" t="s">
        <v>345</v>
      </c>
      <c r="C21" s="82" t="s">
        <v>270</v>
      </c>
      <c r="D21" s="80" t="s">
        <v>271</v>
      </c>
      <c r="E21" s="82">
        <v>61</v>
      </c>
      <c r="F21" s="82" t="s">
        <v>245</v>
      </c>
      <c r="G21" s="82">
        <v>98166447</v>
      </c>
      <c r="H21" s="81">
        <v>2.5499999999999998</v>
      </c>
      <c r="I21" s="82" t="s">
        <v>331</v>
      </c>
      <c r="J21" s="81">
        <v>1</v>
      </c>
      <c r="K21" s="81">
        <v>2</v>
      </c>
      <c r="L21" s="79"/>
      <c r="M21" s="83">
        <v>0</v>
      </c>
      <c r="N21" s="83">
        <v>0</v>
      </c>
      <c r="O21" s="78">
        <v>0</v>
      </c>
      <c r="P21" s="78"/>
      <c r="Q21" s="78"/>
      <c r="R21" s="5"/>
    </row>
    <row r="22" spans="1:18" x14ac:dyDescent="0.25">
      <c r="A22" s="6">
        <v>15</v>
      </c>
      <c r="B22" s="79" t="s">
        <v>345</v>
      </c>
      <c r="C22" s="82" t="s">
        <v>272</v>
      </c>
      <c r="D22" s="80" t="s">
        <v>273</v>
      </c>
      <c r="E22" s="82">
        <v>53</v>
      </c>
      <c r="F22" s="82" t="s">
        <v>245</v>
      </c>
      <c r="G22" s="82">
        <v>77301444</v>
      </c>
      <c r="H22" s="81">
        <v>0.624</v>
      </c>
      <c r="I22" s="82" t="s">
        <v>82</v>
      </c>
      <c r="J22" s="81">
        <v>0</v>
      </c>
      <c r="K22" s="81">
        <v>1</v>
      </c>
      <c r="L22" s="79"/>
      <c r="M22" s="83">
        <v>0</v>
      </c>
      <c r="N22" s="83">
        <v>0</v>
      </c>
      <c r="O22" s="78">
        <v>0</v>
      </c>
      <c r="P22" s="78"/>
      <c r="Q22" s="78"/>
      <c r="R22" s="5"/>
    </row>
    <row r="23" spans="1:18" x14ac:dyDescent="0.25">
      <c r="A23" s="6">
        <v>16</v>
      </c>
      <c r="B23" s="79" t="s">
        <v>345</v>
      </c>
      <c r="C23" s="82" t="s">
        <v>274</v>
      </c>
      <c r="D23" s="80" t="s">
        <v>275</v>
      </c>
      <c r="E23" s="82">
        <v>37</v>
      </c>
      <c r="F23" s="82" t="s">
        <v>245</v>
      </c>
      <c r="G23" s="82">
        <v>93828863</v>
      </c>
      <c r="H23" s="81">
        <v>1.6459999999999999</v>
      </c>
      <c r="I23" s="82" t="s">
        <v>331</v>
      </c>
      <c r="J23" s="81">
        <v>0</v>
      </c>
      <c r="K23" s="81">
        <v>4</v>
      </c>
      <c r="L23" s="79"/>
      <c r="M23" s="83">
        <v>1</v>
      </c>
      <c r="N23" s="83">
        <v>0</v>
      </c>
      <c r="O23" s="78">
        <v>0</v>
      </c>
      <c r="P23" s="78"/>
      <c r="Q23" s="78"/>
      <c r="R23" s="5"/>
    </row>
    <row r="24" spans="1:18" x14ac:dyDescent="0.25">
      <c r="A24" s="6">
        <v>17</v>
      </c>
      <c r="B24" s="79" t="s">
        <v>345</v>
      </c>
      <c r="C24" s="82" t="s">
        <v>336</v>
      </c>
      <c r="D24" s="80" t="s">
        <v>337</v>
      </c>
      <c r="E24" s="82">
        <v>36</v>
      </c>
      <c r="F24" s="82" t="s">
        <v>245</v>
      </c>
      <c r="G24" s="82">
        <v>93931609</v>
      </c>
      <c r="H24" s="81">
        <v>2.25</v>
      </c>
      <c r="I24" s="82" t="s">
        <v>331</v>
      </c>
      <c r="J24" s="81">
        <v>3</v>
      </c>
      <c r="K24" s="81">
        <v>2</v>
      </c>
      <c r="L24" s="79"/>
      <c r="M24" s="83">
        <v>3</v>
      </c>
      <c r="N24" s="83">
        <v>0</v>
      </c>
      <c r="O24" s="78">
        <v>1</v>
      </c>
      <c r="P24" s="78"/>
      <c r="Q24" s="78"/>
      <c r="R24" s="5"/>
    </row>
    <row r="25" spans="1:18" x14ac:dyDescent="0.25">
      <c r="A25" s="6">
        <v>18</v>
      </c>
      <c r="B25" s="79" t="s">
        <v>345</v>
      </c>
      <c r="C25" s="82" t="s">
        <v>276</v>
      </c>
      <c r="D25" s="80" t="s">
        <v>277</v>
      </c>
      <c r="E25" s="82">
        <v>58</v>
      </c>
      <c r="F25" s="82" t="s">
        <v>245</v>
      </c>
      <c r="G25" s="82">
        <v>94049607</v>
      </c>
      <c r="H25" s="81">
        <v>1.389</v>
      </c>
      <c r="I25" s="82" t="s">
        <v>338</v>
      </c>
      <c r="J25" s="81">
        <v>0</v>
      </c>
      <c r="K25" s="81">
        <v>3</v>
      </c>
      <c r="L25" s="79"/>
      <c r="M25" s="83">
        <v>2</v>
      </c>
      <c r="N25" s="83">
        <v>0</v>
      </c>
      <c r="O25" s="78">
        <v>0</v>
      </c>
      <c r="P25" s="78"/>
      <c r="Q25" s="78"/>
      <c r="R25" s="5"/>
    </row>
    <row r="26" spans="1:18" x14ac:dyDescent="0.25">
      <c r="A26" s="6">
        <v>19</v>
      </c>
      <c r="B26" s="79" t="s">
        <v>345</v>
      </c>
      <c r="C26" s="82" t="s">
        <v>278</v>
      </c>
      <c r="D26" s="80" t="s">
        <v>279</v>
      </c>
      <c r="E26" s="82">
        <v>57</v>
      </c>
      <c r="F26" s="82" t="s">
        <v>245</v>
      </c>
      <c r="G26" s="82">
        <v>93437391</v>
      </c>
      <c r="H26" s="81">
        <v>1.484</v>
      </c>
      <c r="I26" s="82" t="s">
        <v>331</v>
      </c>
      <c r="J26" s="81">
        <v>0</v>
      </c>
      <c r="K26" s="81">
        <v>3</v>
      </c>
      <c r="L26" s="79"/>
      <c r="M26" s="83">
        <v>2</v>
      </c>
      <c r="N26" s="83">
        <v>0</v>
      </c>
      <c r="O26" s="78">
        <v>0</v>
      </c>
      <c r="P26" s="78"/>
      <c r="Q26" s="78"/>
      <c r="R26" s="5"/>
    </row>
    <row r="27" spans="1:18" x14ac:dyDescent="0.25">
      <c r="A27" s="6">
        <v>20</v>
      </c>
      <c r="B27" s="79" t="s">
        <v>345</v>
      </c>
      <c r="C27" s="82" t="s">
        <v>280</v>
      </c>
      <c r="D27" s="80" t="s">
        <v>281</v>
      </c>
      <c r="E27" s="82">
        <v>60</v>
      </c>
      <c r="F27" s="82" t="s">
        <v>245</v>
      </c>
      <c r="G27" s="82">
        <v>93361195</v>
      </c>
      <c r="H27" s="81">
        <v>2.7</v>
      </c>
      <c r="I27" s="82" t="s">
        <v>331</v>
      </c>
      <c r="J27" s="81">
        <v>0</v>
      </c>
      <c r="K27" s="81">
        <v>2</v>
      </c>
      <c r="L27" s="79"/>
      <c r="M27" s="83">
        <v>0</v>
      </c>
      <c r="N27" s="83">
        <v>0</v>
      </c>
      <c r="O27" s="78">
        <v>0</v>
      </c>
      <c r="P27" s="78"/>
      <c r="Q27" s="78"/>
      <c r="R27" s="5"/>
    </row>
    <row r="28" spans="1:18" x14ac:dyDescent="0.25">
      <c r="A28" s="6">
        <v>21</v>
      </c>
      <c r="B28" s="79" t="s">
        <v>345</v>
      </c>
      <c r="C28" s="82" t="s">
        <v>282</v>
      </c>
      <c r="D28" s="80" t="s">
        <v>283</v>
      </c>
      <c r="E28" s="82">
        <v>60</v>
      </c>
      <c r="F28" s="82" t="s">
        <v>245</v>
      </c>
      <c r="G28" s="82">
        <v>98444692</v>
      </c>
      <c r="H28" s="81">
        <v>2.7</v>
      </c>
      <c r="I28" s="82" t="s">
        <v>331</v>
      </c>
      <c r="J28" s="81">
        <v>1</v>
      </c>
      <c r="K28" s="81">
        <v>2</v>
      </c>
      <c r="L28" s="79"/>
      <c r="M28" s="83">
        <v>0</v>
      </c>
      <c r="N28" s="83">
        <v>0</v>
      </c>
      <c r="O28" s="78">
        <v>0</v>
      </c>
      <c r="P28" s="78"/>
      <c r="Q28" s="78"/>
      <c r="R28" s="5"/>
    </row>
    <row r="29" spans="1:18" x14ac:dyDescent="0.25">
      <c r="A29" s="6">
        <v>22</v>
      </c>
      <c r="B29" s="79" t="s">
        <v>345</v>
      </c>
      <c r="C29" s="82" t="s">
        <v>284</v>
      </c>
      <c r="D29" s="80" t="s">
        <v>285</v>
      </c>
      <c r="E29" s="82">
        <v>44</v>
      </c>
      <c r="F29" s="82" t="s">
        <v>245</v>
      </c>
      <c r="G29" s="82">
        <v>94848934</v>
      </c>
      <c r="H29" s="81">
        <v>2.4</v>
      </c>
      <c r="I29" s="82" t="s">
        <v>331</v>
      </c>
      <c r="J29" s="81">
        <v>3</v>
      </c>
      <c r="K29" s="81">
        <v>1</v>
      </c>
      <c r="L29" s="79"/>
      <c r="M29" s="83">
        <v>0</v>
      </c>
      <c r="N29" s="83">
        <v>0</v>
      </c>
      <c r="O29" s="78">
        <v>0</v>
      </c>
      <c r="P29" s="78"/>
      <c r="Q29" s="78"/>
      <c r="R29" s="5"/>
    </row>
    <row r="30" spans="1:18" x14ac:dyDescent="0.25">
      <c r="A30" s="6">
        <v>23</v>
      </c>
      <c r="B30" s="79" t="s">
        <v>345</v>
      </c>
      <c r="C30" s="82" t="s">
        <v>286</v>
      </c>
      <c r="D30" s="80" t="s">
        <v>287</v>
      </c>
      <c r="E30" s="82">
        <v>37</v>
      </c>
      <c r="F30" s="82" t="s">
        <v>245</v>
      </c>
      <c r="G30" s="82">
        <v>93835107</v>
      </c>
      <c r="H30" s="81">
        <v>2.2000000000000002</v>
      </c>
      <c r="I30" s="82" t="s">
        <v>331</v>
      </c>
      <c r="J30" s="81">
        <v>0</v>
      </c>
      <c r="K30" s="81">
        <v>1</v>
      </c>
      <c r="L30" s="79"/>
      <c r="M30" s="83">
        <v>0</v>
      </c>
      <c r="N30" s="83">
        <v>0</v>
      </c>
      <c r="O30" s="78">
        <v>0</v>
      </c>
      <c r="P30" s="78"/>
      <c r="Q30" s="78"/>
      <c r="R30" s="5"/>
    </row>
    <row r="31" spans="1:18" x14ac:dyDescent="0.25">
      <c r="A31" s="6">
        <v>24</v>
      </c>
      <c r="B31" s="79" t="s">
        <v>345</v>
      </c>
      <c r="C31" s="82" t="s">
        <v>288</v>
      </c>
      <c r="D31" s="80" t="s">
        <v>289</v>
      </c>
      <c r="E31" s="82">
        <v>60</v>
      </c>
      <c r="F31" s="82" t="s">
        <v>245</v>
      </c>
      <c r="G31" s="82">
        <v>98149493</v>
      </c>
      <c r="H31" s="81">
        <v>2.1110000000000002</v>
      </c>
      <c r="I31" s="82" t="s">
        <v>331</v>
      </c>
      <c r="J31" s="81">
        <v>1</v>
      </c>
      <c r="K31" s="81">
        <v>3</v>
      </c>
      <c r="L31" s="79"/>
      <c r="M31" s="83">
        <v>0</v>
      </c>
      <c r="N31" s="83">
        <v>0</v>
      </c>
      <c r="O31" s="78">
        <v>0</v>
      </c>
      <c r="P31" s="78"/>
      <c r="Q31" s="78"/>
      <c r="R31" s="5"/>
    </row>
    <row r="32" spans="1:18" x14ac:dyDescent="0.25">
      <c r="A32" s="6">
        <v>25</v>
      </c>
      <c r="B32" s="79" t="s">
        <v>345</v>
      </c>
      <c r="C32" s="82" t="s">
        <v>290</v>
      </c>
      <c r="D32" s="80" t="s">
        <v>291</v>
      </c>
      <c r="E32" s="82">
        <v>40</v>
      </c>
      <c r="F32" s="82" t="s">
        <v>245</v>
      </c>
      <c r="G32" s="82">
        <v>77921645</v>
      </c>
      <c r="H32" s="81">
        <v>2.08</v>
      </c>
      <c r="I32" s="82" t="s">
        <v>331</v>
      </c>
      <c r="J32" s="81">
        <v>0</v>
      </c>
      <c r="K32" s="81">
        <v>4</v>
      </c>
      <c r="L32" s="79"/>
      <c r="M32" s="83">
        <v>2</v>
      </c>
      <c r="N32" s="83">
        <v>0</v>
      </c>
      <c r="O32" s="78">
        <v>0</v>
      </c>
      <c r="P32" s="78"/>
      <c r="Q32" s="78"/>
      <c r="R32" s="5"/>
    </row>
    <row r="33" spans="1:18" x14ac:dyDescent="0.25">
      <c r="A33" s="6">
        <v>26</v>
      </c>
      <c r="B33" s="79" t="s">
        <v>345</v>
      </c>
      <c r="C33" s="82" t="s">
        <v>292</v>
      </c>
      <c r="D33" s="80" t="s">
        <v>293</v>
      </c>
      <c r="E33" s="82">
        <v>36</v>
      </c>
      <c r="F33" s="82" t="s">
        <v>245</v>
      </c>
      <c r="G33" s="82">
        <v>77804021</v>
      </c>
      <c r="H33" s="81">
        <v>2.1850000000000001</v>
      </c>
      <c r="I33" s="82" t="s">
        <v>331</v>
      </c>
      <c r="J33" s="81">
        <v>0</v>
      </c>
      <c r="K33" s="81">
        <v>2</v>
      </c>
      <c r="L33" s="79"/>
      <c r="M33" s="83">
        <v>3</v>
      </c>
      <c r="N33" s="83">
        <v>0</v>
      </c>
      <c r="O33" s="78">
        <v>0</v>
      </c>
      <c r="P33" s="78"/>
      <c r="Q33" s="78"/>
      <c r="R33" s="5"/>
    </row>
    <row r="34" spans="1:18" x14ac:dyDescent="0.25">
      <c r="A34" s="6">
        <v>27</v>
      </c>
      <c r="B34" s="79" t="s">
        <v>345</v>
      </c>
      <c r="C34" s="82" t="s">
        <v>294</v>
      </c>
      <c r="D34" s="80" t="s">
        <v>295</v>
      </c>
      <c r="E34" s="82">
        <v>59</v>
      </c>
      <c r="F34" s="82" t="s">
        <v>245</v>
      </c>
      <c r="G34" s="82">
        <v>77551039</v>
      </c>
      <c r="H34" s="81">
        <v>1.821</v>
      </c>
      <c r="I34" s="82" t="s">
        <v>331</v>
      </c>
      <c r="J34" s="81">
        <v>1</v>
      </c>
      <c r="K34" s="81">
        <v>2</v>
      </c>
      <c r="L34" s="79"/>
      <c r="M34" s="83">
        <v>0</v>
      </c>
      <c r="N34" s="83">
        <v>0</v>
      </c>
      <c r="O34" s="78">
        <v>0</v>
      </c>
      <c r="P34" s="78"/>
      <c r="Q34" s="78"/>
      <c r="R34" s="5"/>
    </row>
    <row r="35" spans="1:18" x14ac:dyDescent="0.25">
      <c r="A35" s="6">
        <v>28</v>
      </c>
      <c r="B35" s="79" t="s">
        <v>345</v>
      </c>
      <c r="C35" s="82" t="s">
        <v>296</v>
      </c>
      <c r="D35" s="80" t="s">
        <v>297</v>
      </c>
      <c r="E35" s="82">
        <v>57</v>
      </c>
      <c r="F35" s="82" t="s">
        <v>245</v>
      </c>
      <c r="G35" s="82">
        <v>94251525</v>
      </c>
      <c r="H35" s="81">
        <v>2.415</v>
      </c>
      <c r="I35" s="82" t="s">
        <v>331</v>
      </c>
      <c r="J35" s="81">
        <v>3</v>
      </c>
      <c r="K35" s="81">
        <v>2</v>
      </c>
      <c r="L35" s="79"/>
      <c r="M35" s="83">
        <v>0</v>
      </c>
      <c r="N35" s="83">
        <v>0</v>
      </c>
      <c r="O35" s="78">
        <v>0</v>
      </c>
      <c r="P35" s="78"/>
      <c r="Q35" s="78"/>
      <c r="R35" s="5"/>
    </row>
    <row r="36" spans="1:18" x14ac:dyDescent="0.25">
      <c r="A36" s="6">
        <v>29</v>
      </c>
      <c r="B36" s="79" t="s">
        <v>345</v>
      </c>
      <c r="C36" s="82" t="s">
        <v>298</v>
      </c>
      <c r="D36" s="80" t="s">
        <v>299</v>
      </c>
      <c r="E36" s="82">
        <v>44</v>
      </c>
      <c r="F36" s="82" t="s">
        <v>245</v>
      </c>
      <c r="G36" s="82">
        <v>93008147</v>
      </c>
      <c r="H36" s="81">
        <v>1.464</v>
      </c>
      <c r="I36" s="82" t="s">
        <v>331</v>
      </c>
      <c r="J36" s="81">
        <v>0</v>
      </c>
      <c r="K36" s="81">
        <v>2</v>
      </c>
      <c r="L36" s="79"/>
      <c r="M36" s="83">
        <v>2</v>
      </c>
      <c r="N36" s="83">
        <v>0</v>
      </c>
      <c r="O36" s="78">
        <v>0</v>
      </c>
      <c r="P36" s="78"/>
      <c r="Q36" s="78"/>
      <c r="R36" s="5"/>
    </row>
    <row r="37" spans="1:18" x14ac:dyDescent="0.25">
      <c r="A37" s="6">
        <v>30</v>
      </c>
      <c r="B37" s="79" t="s">
        <v>345</v>
      </c>
      <c r="C37" s="82" t="s">
        <v>300</v>
      </c>
      <c r="D37" s="80" t="s">
        <v>301</v>
      </c>
      <c r="E37" s="82">
        <v>44</v>
      </c>
      <c r="F37" s="82" t="s">
        <v>245</v>
      </c>
      <c r="G37" s="82">
        <v>98646527</v>
      </c>
      <c r="H37" s="81">
        <v>2.1160000000000001</v>
      </c>
      <c r="I37" s="82" t="s">
        <v>331</v>
      </c>
      <c r="J37" s="81">
        <v>2</v>
      </c>
      <c r="K37" s="81">
        <v>2</v>
      </c>
      <c r="L37" s="79"/>
      <c r="M37" s="83">
        <v>0</v>
      </c>
      <c r="N37" s="83">
        <v>0</v>
      </c>
      <c r="O37" s="78">
        <v>0</v>
      </c>
      <c r="P37" s="78"/>
      <c r="Q37" s="78"/>
      <c r="R37" s="5"/>
    </row>
    <row r="38" spans="1:18" x14ac:dyDescent="0.25">
      <c r="A38" s="6">
        <v>31</v>
      </c>
      <c r="B38" s="79" t="s">
        <v>345</v>
      </c>
      <c r="C38" s="82" t="s">
        <v>302</v>
      </c>
      <c r="D38" s="80" t="s">
        <v>303</v>
      </c>
      <c r="E38" s="82">
        <v>63</v>
      </c>
      <c r="F38" s="82" t="s">
        <v>245</v>
      </c>
      <c r="G38" s="82">
        <v>93812831</v>
      </c>
      <c r="H38" s="81">
        <v>2.0609999999999999</v>
      </c>
      <c r="I38" s="82" t="s">
        <v>331</v>
      </c>
      <c r="J38" s="81">
        <v>0</v>
      </c>
      <c r="K38" s="81">
        <v>4</v>
      </c>
      <c r="L38" s="79"/>
      <c r="M38" s="83">
        <v>2</v>
      </c>
      <c r="N38" s="83">
        <v>0</v>
      </c>
      <c r="O38" s="78">
        <v>0</v>
      </c>
      <c r="P38" s="78"/>
      <c r="Q38" s="78"/>
      <c r="R38" s="5"/>
    </row>
    <row r="39" spans="1:18" x14ac:dyDescent="0.25">
      <c r="A39" s="6">
        <v>32</v>
      </c>
      <c r="B39" s="79" t="s">
        <v>345</v>
      </c>
      <c r="C39" s="82" t="s">
        <v>339</v>
      </c>
      <c r="D39" s="80" t="s">
        <v>340</v>
      </c>
      <c r="E39" s="82">
        <v>32</v>
      </c>
      <c r="F39" s="82" t="s">
        <v>245</v>
      </c>
      <c r="G39" s="82">
        <v>94767778</v>
      </c>
      <c r="H39" s="81">
        <v>1.7450000000000001</v>
      </c>
      <c r="I39" s="82" t="s">
        <v>331</v>
      </c>
      <c r="J39" s="81">
        <v>0</v>
      </c>
      <c r="K39" s="81">
        <v>3</v>
      </c>
      <c r="L39" s="79"/>
      <c r="M39" s="83">
        <v>0</v>
      </c>
      <c r="N39" s="83">
        <v>0</v>
      </c>
      <c r="O39" s="78">
        <v>0</v>
      </c>
      <c r="P39" s="78"/>
      <c r="Q39" s="78"/>
      <c r="R39" s="5"/>
    </row>
    <row r="40" spans="1:18" x14ac:dyDescent="0.25">
      <c r="A40" s="6">
        <v>33</v>
      </c>
      <c r="B40" s="79" t="s">
        <v>345</v>
      </c>
      <c r="C40" s="82" t="s">
        <v>304</v>
      </c>
      <c r="D40" s="80" t="s">
        <v>305</v>
      </c>
      <c r="E40" s="82">
        <v>56</v>
      </c>
      <c r="F40" s="82" t="s">
        <v>245</v>
      </c>
      <c r="G40" s="82">
        <v>94567580</v>
      </c>
      <c r="H40" s="81">
        <v>1.371</v>
      </c>
      <c r="I40" s="82" t="s">
        <v>331</v>
      </c>
      <c r="J40" s="81">
        <v>0</v>
      </c>
      <c r="K40" s="81">
        <v>1</v>
      </c>
      <c r="L40" s="79"/>
      <c r="M40" s="83">
        <v>0</v>
      </c>
      <c r="N40" s="83">
        <v>0</v>
      </c>
      <c r="O40" s="78">
        <v>0</v>
      </c>
      <c r="P40" s="78"/>
      <c r="Q40" s="78"/>
      <c r="R40" s="5"/>
    </row>
    <row r="41" spans="1:18" x14ac:dyDescent="0.25">
      <c r="A41" s="6">
        <v>34</v>
      </c>
      <c r="B41" s="79" t="s">
        <v>345</v>
      </c>
      <c r="C41" s="82" t="s">
        <v>306</v>
      </c>
      <c r="D41" s="80" t="s">
        <v>307</v>
      </c>
      <c r="E41" s="82">
        <v>40</v>
      </c>
      <c r="F41" s="82" t="s">
        <v>245</v>
      </c>
      <c r="G41" s="82">
        <v>94397285</v>
      </c>
      <c r="H41" s="81">
        <v>1.762</v>
      </c>
      <c r="I41" s="82" t="s">
        <v>331</v>
      </c>
      <c r="J41" s="81">
        <v>0</v>
      </c>
      <c r="K41" s="81">
        <v>3</v>
      </c>
      <c r="L41" s="79"/>
      <c r="M41" s="83">
        <v>2</v>
      </c>
      <c r="N41" s="83">
        <v>0</v>
      </c>
      <c r="O41" s="78">
        <v>0</v>
      </c>
      <c r="P41" s="78"/>
      <c r="Q41" s="78"/>
      <c r="R41" s="5"/>
    </row>
    <row r="42" spans="1:18" x14ac:dyDescent="0.25">
      <c r="A42" s="6">
        <v>35</v>
      </c>
      <c r="B42" s="79" t="s">
        <v>345</v>
      </c>
      <c r="C42" s="82" t="s">
        <v>308</v>
      </c>
      <c r="D42" s="80" t="s">
        <v>309</v>
      </c>
      <c r="E42" s="82">
        <v>46</v>
      </c>
      <c r="F42" s="82" t="s">
        <v>245</v>
      </c>
      <c r="G42" s="82" t="s">
        <v>346</v>
      </c>
      <c r="H42" s="81">
        <v>1.4</v>
      </c>
      <c r="I42" s="82" t="s">
        <v>341</v>
      </c>
      <c r="J42" s="81">
        <v>1</v>
      </c>
      <c r="K42" s="81">
        <v>1</v>
      </c>
      <c r="L42" s="79"/>
      <c r="M42" s="83">
        <v>0</v>
      </c>
      <c r="N42" s="83">
        <v>0</v>
      </c>
      <c r="O42" s="78">
        <v>0</v>
      </c>
      <c r="P42" s="78"/>
      <c r="Q42" s="78"/>
      <c r="R42" s="5"/>
    </row>
    <row r="43" spans="1:18" x14ac:dyDescent="0.25">
      <c r="A43" s="6">
        <v>36</v>
      </c>
      <c r="B43" s="79" t="s">
        <v>345</v>
      </c>
      <c r="C43" s="82" t="s">
        <v>310</v>
      </c>
      <c r="D43" s="80" t="s">
        <v>311</v>
      </c>
      <c r="E43" s="82">
        <v>44</v>
      </c>
      <c r="F43" s="82" t="s">
        <v>245</v>
      </c>
      <c r="G43" s="82">
        <v>77956155</v>
      </c>
      <c r="H43" s="81">
        <v>1.9330000000000001</v>
      </c>
      <c r="I43" s="82" t="s">
        <v>331</v>
      </c>
      <c r="J43" s="81">
        <v>0</v>
      </c>
      <c r="K43" s="81">
        <v>3</v>
      </c>
      <c r="L43" s="79"/>
      <c r="M43" s="83">
        <v>2</v>
      </c>
      <c r="N43" s="83">
        <v>0</v>
      </c>
      <c r="O43" s="78">
        <v>0</v>
      </c>
      <c r="P43" s="78"/>
      <c r="Q43" s="78"/>
      <c r="R43" s="5"/>
    </row>
    <row r="44" spans="1:18" x14ac:dyDescent="0.25">
      <c r="A44" s="6">
        <v>37</v>
      </c>
      <c r="B44" s="79" t="s">
        <v>345</v>
      </c>
      <c r="C44" s="82" t="s">
        <v>312</v>
      </c>
      <c r="D44" s="80" t="s">
        <v>313</v>
      </c>
      <c r="E44" s="82">
        <v>55</v>
      </c>
      <c r="F44" s="82" t="s">
        <v>245</v>
      </c>
      <c r="G44" s="82">
        <v>94202607</v>
      </c>
      <c r="H44" s="81">
        <v>1.7989999999999999</v>
      </c>
      <c r="I44" s="82" t="s">
        <v>331</v>
      </c>
      <c r="J44" s="81">
        <v>5</v>
      </c>
      <c r="K44" s="81">
        <v>2</v>
      </c>
      <c r="L44" s="79"/>
      <c r="M44" s="83">
        <v>2</v>
      </c>
      <c r="N44" s="83">
        <v>0</v>
      </c>
      <c r="O44" s="78">
        <v>0</v>
      </c>
      <c r="P44" s="78"/>
      <c r="Q44" s="78"/>
      <c r="R44" s="5"/>
    </row>
    <row r="45" spans="1:18" x14ac:dyDescent="0.25">
      <c r="A45" s="6">
        <v>38</v>
      </c>
      <c r="B45" s="79" t="s">
        <v>345</v>
      </c>
      <c r="C45" s="82" t="s">
        <v>314</v>
      </c>
      <c r="D45" s="80" t="s">
        <v>315</v>
      </c>
      <c r="E45" s="82">
        <v>60</v>
      </c>
      <c r="F45" s="82" t="s">
        <v>245</v>
      </c>
      <c r="G45" s="82">
        <v>93486788</v>
      </c>
      <c r="H45" s="81">
        <v>1.5249999999999999</v>
      </c>
      <c r="I45" s="82" t="s">
        <v>331</v>
      </c>
      <c r="J45" s="81">
        <v>1</v>
      </c>
      <c r="K45" s="81">
        <v>2</v>
      </c>
      <c r="L45" s="79"/>
      <c r="M45" s="83">
        <v>0</v>
      </c>
      <c r="N45" s="83">
        <v>0</v>
      </c>
      <c r="O45" s="78">
        <v>0</v>
      </c>
      <c r="P45" s="78"/>
      <c r="Q45" s="78"/>
      <c r="R45" s="5"/>
    </row>
    <row r="46" spans="1:18" x14ac:dyDescent="0.25">
      <c r="A46" s="6">
        <v>39</v>
      </c>
      <c r="B46" s="79" t="s">
        <v>345</v>
      </c>
      <c r="C46" s="82" t="s">
        <v>342</v>
      </c>
      <c r="D46" s="80" t="s">
        <v>316</v>
      </c>
      <c r="E46" s="82">
        <v>42</v>
      </c>
      <c r="F46" s="82" t="s">
        <v>245</v>
      </c>
      <c r="G46" s="82">
        <v>77925534</v>
      </c>
      <c r="H46" s="81">
        <v>1.2290000000000001</v>
      </c>
      <c r="I46" s="82" t="s">
        <v>331</v>
      </c>
      <c r="J46" s="81">
        <v>0</v>
      </c>
      <c r="K46" s="81">
        <v>4</v>
      </c>
      <c r="L46" s="79"/>
      <c r="M46" s="83">
        <v>3</v>
      </c>
      <c r="N46" s="83">
        <v>0</v>
      </c>
      <c r="O46" s="78">
        <v>0</v>
      </c>
      <c r="P46" s="78"/>
      <c r="Q46" s="78"/>
      <c r="R46" s="5"/>
    </row>
    <row r="47" spans="1:18" x14ac:dyDescent="0.25">
      <c r="A47" s="6">
        <v>40</v>
      </c>
      <c r="B47" s="79" t="s">
        <v>345</v>
      </c>
      <c r="C47" s="82" t="s">
        <v>317</v>
      </c>
      <c r="D47" s="80" t="s">
        <v>318</v>
      </c>
      <c r="E47" s="82">
        <v>54</v>
      </c>
      <c r="F47" s="82" t="s">
        <v>245</v>
      </c>
      <c r="G47" s="82">
        <v>93897771</v>
      </c>
      <c r="H47" s="81">
        <v>2.0036999999999998</v>
      </c>
      <c r="I47" s="82" t="s">
        <v>331</v>
      </c>
      <c r="J47" s="81">
        <v>0</v>
      </c>
      <c r="K47" s="81">
        <v>2</v>
      </c>
      <c r="L47" s="79"/>
      <c r="M47" s="83">
        <v>0</v>
      </c>
      <c r="N47" s="83">
        <v>1</v>
      </c>
      <c r="O47" s="78">
        <v>0</v>
      </c>
      <c r="P47" s="78"/>
      <c r="Q47" s="78"/>
      <c r="R47" s="5"/>
    </row>
    <row r="48" spans="1:18" x14ac:dyDescent="0.25">
      <c r="A48" s="6">
        <v>41</v>
      </c>
      <c r="B48" s="79" t="s">
        <v>345</v>
      </c>
      <c r="C48" s="82" t="s">
        <v>343</v>
      </c>
      <c r="D48" s="80" t="s">
        <v>344</v>
      </c>
      <c r="E48" s="82">
        <v>54</v>
      </c>
      <c r="F48" s="82" t="s">
        <v>245</v>
      </c>
      <c r="G48" s="82">
        <v>93220250</v>
      </c>
      <c r="H48" s="81">
        <v>1.7170000000000001</v>
      </c>
      <c r="I48" s="82" t="s">
        <v>331</v>
      </c>
      <c r="J48" s="81">
        <v>2</v>
      </c>
      <c r="K48" s="81">
        <v>3</v>
      </c>
      <c r="L48" s="79"/>
      <c r="M48" s="83">
        <v>0</v>
      </c>
      <c r="N48" s="83">
        <v>1</v>
      </c>
      <c r="O48" s="78">
        <v>0</v>
      </c>
      <c r="P48" s="78"/>
      <c r="Q48" s="78"/>
      <c r="R48" s="5"/>
    </row>
    <row r="49" spans="1:18" x14ac:dyDescent="0.25">
      <c r="A49" s="6">
        <v>42</v>
      </c>
      <c r="B49" s="79" t="s">
        <v>345</v>
      </c>
      <c r="C49" s="82" t="s">
        <v>319</v>
      </c>
      <c r="D49" s="80" t="s">
        <v>320</v>
      </c>
      <c r="E49" s="82">
        <v>36</v>
      </c>
      <c r="F49" s="82" t="s">
        <v>245</v>
      </c>
      <c r="G49" s="82">
        <v>94955727</v>
      </c>
      <c r="H49" s="81">
        <v>2.85</v>
      </c>
      <c r="I49" s="82" t="s">
        <v>331</v>
      </c>
      <c r="J49" s="81">
        <v>0</v>
      </c>
      <c r="K49" s="81">
        <v>2</v>
      </c>
      <c r="L49" s="79"/>
      <c r="M49" s="83">
        <v>2</v>
      </c>
      <c r="N49" s="83">
        <v>0</v>
      </c>
      <c r="O49" s="78">
        <v>0</v>
      </c>
      <c r="P49" s="78"/>
      <c r="Q49" s="78"/>
      <c r="R49" s="5"/>
    </row>
    <row r="50" spans="1:18" x14ac:dyDescent="0.25">
      <c r="A50" s="6">
        <v>43</v>
      </c>
      <c r="B50" s="79" t="s">
        <v>345</v>
      </c>
      <c r="C50" s="82" t="s">
        <v>321</v>
      </c>
      <c r="D50" s="80" t="s">
        <v>322</v>
      </c>
      <c r="E50" s="82">
        <v>59</v>
      </c>
      <c r="F50" s="82" t="s">
        <v>245</v>
      </c>
      <c r="G50" s="82">
        <v>99600112</v>
      </c>
      <c r="H50" s="81">
        <v>2.25</v>
      </c>
      <c r="I50" s="82" t="s">
        <v>331</v>
      </c>
      <c r="J50" s="81">
        <v>1</v>
      </c>
      <c r="K50" s="81">
        <v>2</v>
      </c>
      <c r="L50" s="79"/>
      <c r="M50" s="83">
        <v>0</v>
      </c>
      <c r="N50" s="83">
        <v>1</v>
      </c>
      <c r="O50" s="78">
        <v>0</v>
      </c>
      <c r="P50" s="78"/>
      <c r="Q50" s="78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4" spans="1:18" x14ac:dyDescent="0.25">
      <c r="B54" s="91" t="s">
        <v>19</v>
      </c>
      <c r="C54" s="91"/>
      <c r="D54" s="91"/>
      <c r="E54" s="91"/>
      <c r="F54" s="91"/>
      <c r="G54" s="91"/>
      <c r="H54" s="91"/>
      <c r="I54" s="91"/>
    </row>
  </sheetData>
  <mergeCells count="14">
    <mergeCell ref="I5:I6"/>
    <mergeCell ref="J5:K5"/>
    <mergeCell ref="L5:Q5"/>
    <mergeCell ref="B54:I54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topLeftCell="A13" workbookViewId="0">
      <selection activeCell="B42" sqref="B42:I42"/>
    </sheetView>
  </sheetViews>
  <sheetFormatPr defaultColWidth="5.85546875" defaultRowHeight="13.5" x14ac:dyDescent="0.25"/>
  <cols>
    <col min="1" max="1" width="4.140625" style="1" customWidth="1"/>
    <col min="2" max="2" width="13.42578125" style="1" customWidth="1"/>
    <col min="3" max="3" width="26.42578125" style="1" customWidth="1"/>
    <col min="4" max="4" width="13.7109375" style="1" customWidth="1"/>
    <col min="5" max="5" width="7.85546875" style="1" customWidth="1"/>
    <col min="6" max="6" width="11.85546875" style="1" customWidth="1"/>
    <col min="7" max="7" width="11" style="1" customWidth="1"/>
    <col min="8" max="8" width="10.28515625" style="1" customWidth="1"/>
    <col min="9" max="9" width="14" style="1" customWidth="1"/>
    <col min="10" max="10" width="8.42578125" style="1" customWidth="1"/>
    <col min="11" max="11" width="8.28515625" style="1" customWidth="1"/>
    <col min="12" max="12" width="19.42578125" style="1" customWidth="1"/>
    <col min="13" max="13" width="11.7109375" style="1" customWidth="1"/>
    <col min="14" max="14" width="15.42578125" style="1" customWidth="1"/>
    <col min="15" max="15" width="18.7109375" style="1" customWidth="1"/>
    <col min="16" max="16" width="13.5703125" style="1" customWidth="1"/>
    <col min="17" max="17" width="13.42578125" style="1" customWidth="1"/>
    <col min="18" max="16384" width="5.85546875" style="1"/>
  </cols>
  <sheetData>
    <row r="1" spans="1:48" ht="28.5" customHeight="1" x14ac:dyDescent="0.25">
      <c r="A1" s="90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48" ht="22.5" customHeight="1" x14ac:dyDescent="0.25">
      <c r="A2" s="90" t="s">
        <v>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5" spans="1:48" s="2" customFormat="1" ht="120" customHeight="1" x14ac:dyDescent="0.25">
      <c r="A5" s="98" t="s">
        <v>0</v>
      </c>
      <c r="B5" s="96" t="s">
        <v>2</v>
      </c>
      <c r="C5" s="96" t="s">
        <v>15</v>
      </c>
      <c r="D5" s="96" t="s">
        <v>6</v>
      </c>
      <c r="E5" s="96" t="s">
        <v>3</v>
      </c>
      <c r="F5" s="96" t="s">
        <v>7</v>
      </c>
      <c r="G5" s="96" t="s">
        <v>17</v>
      </c>
      <c r="H5" s="96" t="s">
        <v>8</v>
      </c>
      <c r="I5" s="96" t="s">
        <v>16</v>
      </c>
      <c r="J5" s="92" t="s">
        <v>9</v>
      </c>
      <c r="K5" s="92"/>
      <c r="L5" s="93" t="s">
        <v>13</v>
      </c>
      <c r="M5" s="94"/>
      <c r="N5" s="94"/>
      <c r="O5" s="94"/>
      <c r="P5" s="94"/>
      <c r="Q5" s="95"/>
      <c r="R5" s="3"/>
      <c r="S5" s="3"/>
    </row>
    <row r="6" spans="1:48" ht="166.5" customHeight="1" x14ac:dyDescent="0.25">
      <c r="A6" s="99"/>
      <c r="B6" s="97"/>
      <c r="C6" s="97"/>
      <c r="D6" s="97"/>
      <c r="E6" s="97"/>
      <c r="F6" s="97"/>
      <c r="G6" s="97"/>
      <c r="H6" s="97"/>
      <c r="I6" s="97"/>
      <c r="J6" s="13" t="s">
        <v>10</v>
      </c>
      <c r="K6" s="13" t="s">
        <v>11</v>
      </c>
      <c r="L6" s="14" t="s">
        <v>12</v>
      </c>
      <c r="M6" s="14" t="s">
        <v>4</v>
      </c>
      <c r="N6" s="14" t="s">
        <v>5</v>
      </c>
      <c r="O6" s="14" t="s">
        <v>14</v>
      </c>
      <c r="P6" s="14" t="s">
        <v>18</v>
      </c>
      <c r="Q6" s="14" t="s">
        <v>20</v>
      </c>
    </row>
    <row r="7" spans="1:48" ht="13.9" customHeight="1" x14ac:dyDescent="0.2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</row>
    <row r="8" spans="1:48" x14ac:dyDescent="0.25">
      <c r="A8" s="6">
        <v>1</v>
      </c>
      <c r="B8" s="16" t="s">
        <v>22</v>
      </c>
      <c r="C8" s="17" t="s">
        <v>23</v>
      </c>
      <c r="D8" s="18" t="s">
        <v>52</v>
      </c>
      <c r="E8" s="17">
        <v>1</v>
      </c>
      <c r="F8" s="19" t="s">
        <v>81</v>
      </c>
      <c r="G8" s="7">
        <v>93405691</v>
      </c>
      <c r="H8" s="21">
        <v>2.67</v>
      </c>
      <c r="I8" s="17" t="s">
        <v>82</v>
      </c>
      <c r="J8" s="21">
        <v>1</v>
      </c>
      <c r="K8" s="21">
        <v>2</v>
      </c>
      <c r="L8" s="19"/>
      <c r="M8" s="22"/>
      <c r="N8" s="23"/>
      <c r="O8" s="7"/>
      <c r="P8" s="7"/>
      <c r="Q8" s="7"/>
    </row>
    <row r="9" spans="1:48" ht="15" customHeight="1" x14ac:dyDescent="0.25">
      <c r="A9" s="8">
        <v>2</v>
      </c>
      <c r="B9" s="16" t="s">
        <v>22</v>
      </c>
      <c r="C9" s="17" t="s">
        <v>24</v>
      </c>
      <c r="D9" s="18" t="s">
        <v>53</v>
      </c>
      <c r="E9" s="17">
        <v>2</v>
      </c>
      <c r="F9" s="19" t="s">
        <v>81</v>
      </c>
      <c r="G9" s="9">
        <v>77631578</v>
      </c>
      <c r="H9" s="21">
        <v>1.71</v>
      </c>
      <c r="I9" s="17" t="s">
        <v>328</v>
      </c>
      <c r="J9" s="21">
        <v>1</v>
      </c>
      <c r="K9" s="21">
        <v>1</v>
      </c>
      <c r="L9" s="19" t="s">
        <v>83</v>
      </c>
      <c r="M9" s="22">
        <v>1</v>
      </c>
      <c r="N9" s="22"/>
      <c r="O9" s="7"/>
      <c r="P9" s="9"/>
      <c r="Q9" s="9"/>
    </row>
    <row r="10" spans="1:48" s="4" customFormat="1" x14ac:dyDescent="0.25">
      <c r="A10" s="6">
        <v>3</v>
      </c>
      <c r="B10" s="16" t="s">
        <v>22</v>
      </c>
      <c r="C10" s="17" t="s">
        <v>25</v>
      </c>
      <c r="D10" s="18" t="s">
        <v>54</v>
      </c>
      <c r="E10" s="17">
        <v>3</v>
      </c>
      <c r="F10" s="19" t="s">
        <v>81</v>
      </c>
      <c r="G10" s="7">
        <v>77007056</v>
      </c>
      <c r="H10" s="21">
        <v>2.77</v>
      </c>
      <c r="I10" s="17" t="s">
        <v>328</v>
      </c>
      <c r="J10" s="21">
        <v>1</v>
      </c>
      <c r="K10" s="21"/>
      <c r="L10" s="19"/>
      <c r="M10" s="22"/>
      <c r="N10" s="22"/>
      <c r="O10" s="7"/>
      <c r="P10" s="7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6">
        <v>4</v>
      </c>
      <c r="B11" s="16" t="s">
        <v>22</v>
      </c>
      <c r="C11" s="17" t="s">
        <v>26</v>
      </c>
      <c r="D11" s="18" t="s">
        <v>55</v>
      </c>
      <c r="E11" s="82">
        <v>4</v>
      </c>
      <c r="F11" s="19" t="s">
        <v>81</v>
      </c>
      <c r="G11" s="7">
        <v>77363834</v>
      </c>
      <c r="H11" s="21">
        <v>2.78</v>
      </c>
      <c r="I11" s="17" t="s">
        <v>328</v>
      </c>
      <c r="J11" s="21">
        <v>2</v>
      </c>
      <c r="K11" s="21">
        <v>2</v>
      </c>
      <c r="L11" s="19"/>
      <c r="M11" s="22">
        <v>2</v>
      </c>
      <c r="N11" s="22"/>
      <c r="O11" s="7"/>
      <c r="P11" s="4"/>
      <c r="Q11" s="4"/>
    </row>
    <row r="12" spans="1:48" x14ac:dyDescent="0.25">
      <c r="A12" s="6">
        <v>5</v>
      </c>
      <c r="B12" s="16" t="s">
        <v>22</v>
      </c>
      <c r="C12" s="17" t="s">
        <v>27</v>
      </c>
      <c r="D12" s="18" t="s">
        <v>56</v>
      </c>
      <c r="E12" s="82">
        <v>5</v>
      </c>
      <c r="F12" s="19" t="s">
        <v>81</v>
      </c>
      <c r="G12" s="64">
        <v>77348474</v>
      </c>
      <c r="H12" s="21">
        <v>2.31</v>
      </c>
      <c r="I12" s="17" t="s">
        <v>328</v>
      </c>
      <c r="J12" s="21">
        <v>2</v>
      </c>
      <c r="K12" s="21">
        <v>2</v>
      </c>
      <c r="L12" s="19"/>
      <c r="M12" s="22"/>
      <c r="N12" s="22">
        <v>1</v>
      </c>
      <c r="O12" s="7"/>
      <c r="P12" s="4"/>
      <c r="Q12" s="4"/>
    </row>
    <row r="13" spans="1:48" ht="14.25" customHeight="1" x14ac:dyDescent="0.25">
      <c r="A13" s="6">
        <v>6</v>
      </c>
      <c r="B13" s="16" t="s">
        <v>22</v>
      </c>
      <c r="C13" s="17" t="s">
        <v>28</v>
      </c>
      <c r="D13" s="18" t="s">
        <v>57</v>
      </c>
      <c r="E13" s="82">
        <v>6</v>
      </c>
      <c r="F13" s="19" t="s">
        <v>81</v>
      </c>
      <c r="G13" s="7">
        <v>77682412</v>
      </c>
      <c r="H13" s="24">
        <v>0.3</v>
      </c>
      <c r="I13" s="17" t="s">
        <v>328</v>
      </c>
      <c r="J13" s="21">
        <v>1</v>
      </c>
      <c r="K13" s="21">
        <v>2</v>
      </c>
      <c r="L13" s="19" t="s">
        <v>83</v>
      </c>
      <c r="M13" s="22">
        <v>1</v>
      </c>
      <c r="N13" s="22">
        <v>1</v>
      </c>
      <c r="O13" s="7"/>
      <c r="P13" s="4"/>
      <c r="Q13" s="4"/>
    </row>
    <row r="14" spans="1:48" x14ac:dyDescent="0.25">
      <c r="A14" s="6">
        <v>7</v>
      </c>
      <c r="B14" s="16" t="s">
        <v>22</v>
      </c>
      <c r="C14" s="17" t="s">
        <v>29</v>
      </c>
      <c r="D14" s="18" t="s">
        <v>58</v>
      </c>
      <c r="E14" s="82">
        <v>7</v>
      </c>
      <c r="F14" s="19" t="s">
        <v>81</v>
      </c>
      <c r="G14" s="7">
        <v>77306444</v>
      </c>
      <c r="H14" s="21">
        <v>2.62</v>
      </c>
      <c r="I14" s="17" t="s">
        <v>328</v>
      </c>
      <c r="J14" s="21">
        <v>2</v>
      </c>
      <c r="K14" s="21">
        <v>2</v>
      </c>
      <c r="L14" s="19"/>
      <c r="M14" s="22"/>
      <c r="N14" s="22"/>
      <c r="O14" s="7"/>
      <c r="P14" s="4"/>
      <c r="Q14" s="4"/>
    </row>
    <row r="15" spans="1:48" x14ac:dyDescent="0.25">
      <c r="A15" s="6">
        <v>8</v>
      </c>
      <c r="B15" s="16" t="s">
        <v>22</v>
      </c>
      <c r="C15" s="17" t="s">
        <v>30</v>
      </c>
      <c r="D15" s="18" t="s">
        <v>59</v>
      </c>
      <c r="E15" s="82">
        <v>8</v>
      </c>
      <c r="F15" s="19" t="s">
        <v>81</v>
      </c>
      <c r="G15" s="7">
        <v>77373004</v>
      </c>
      <c r="H15" s="21">
        <v>2.15</v>
      </c>
      <c r="I15" s="17" t="s">
        <v>82</v>
      </c>
      <c r="J15" s="21">
        <v>2</v>
      </c>
      <c r="K15" s="21">
        <v>2</v>
      </c>
      <c r="L15" s="19"/>
      <c r="M15" s="22"/>
      <c r="N15" s="22"/>
      <c r="O15" s="7"/>
      <c r="P15" s="4"/>
      <c r="Q15" s="4"/>
    </row>
    <row r="16" spans="1:48" x14ac:dyDescent="0.25">
      <c r="A16" s="6">
        <v>9</v>
      </c>
      <c r="B16" s="16" t="s">
        <v>22</v>
      </c>
      <c r="C16" s="17" t="s">
        <v>31</v>
      </c>
      <c r="D16" s="18" t="s">
        <v>60</v>
      </c>
      <c r="E16" s="82">
        <v>9</v>
      </c>
      <c r="F16" s="19" t="s">
        <v>81</v>
      </c>
      <c r="G16" s="7">
        <v>94741377</v>
      </c>
      <c r="H16" s="21">
        <v>1.57</v>
      </c>
      <c r="I16" s="17" t="s">
        <v>328</v>
      </c>
      <c r="J16" s="21">
        <v>1</v>
      </c>
      <c r="K16" s="21">
        <v>2</v>
      </c>
      <c r="L16" s="19"/>
      <c r="M16" s="22">
        <v>2</v>
      </c>
      <c r="N16" s="22">
        <v>1</v>
      </c>
      <c r="O16" s="7"/>
      <c r="P16" s="4"/>
      <c r="Q16" s="4"/>
    </row>
    <row r="17" spans="1:17" x14ac:dyDescent="0.25">
      <c r="A17" s="6">
        <v>10</v>
      </c>
      <c r="B17" s="16" t="s">
        <v>22</v>
      </c>
      <c r="C17" s="17" t="s">
        <v>32</v>
      </c>
      <c r="D17" s="18" t="s">
        <v>61</v>
      </c>
      <c r="E17" s="82">
        <v>10</v>
      </c>
      <c r="F17" s="19" t="s">
        <v>81</v>
      </c>
      <c r="G17" s="7">
        <v>77364818</v>
      </c>
      <c r="H17" s="21">
        <v>2.1800000000000002</v>
      </c>
      <c r="I17" s="17" t="s">
        <v>328</v>
      </c>
      <c r="J17" s="21"/>
      <c r="K17" s="21">
        <v>2</v>
      </c>
      <c r="L17" s="19"/>
      <c r="M17" s="22"/>
      <c r="N17" s="22"/>
      <c r="O17" s="7"/>
      <c r="P17" s="4"/>
      <c r="Q17" s="4"/>
    </row>
    <row r="18" spans="1:17" x14ac:dyDescent="0.25">
      <c r="A18" s="6">
        <v>11</v>
      </c>
      <c r="B18" s="16" t="s">
        <v>22</v>
      </c>
      <c r="C18" s="17" t="s">
        <v>33</v>
      </c>
      <c r="D18" s="18" t="s">
        <v>62</v>
      </c>
      <c r="E18" s="82">
        <v>11</v>
      </c>
      <c r="F18" s="19" t="s">
        <v>81</v>
      </c>
      <c r="G18" s="7">
        <v>93134080</v>
      </c>
      <c r="H18" s="21">
        <v>2.0699999999999998</v>
      </c>
      <c r="I18" s="17" t="s">
        <v>328</v>
      </c>
      <c r="J18" s="21">
        <v>2</v>
      </c>
      <c r="K18" s="21">
        <v>1</v>
      </c>
      <c r="L18" s="19"/>
      <c r="M18" s="22">
        <v>2</v>
      </c>
      <c r="N18" s="22"/>
      <c r="O18" s="7"/>
      <c r="P18" s="4"/>
      <c r="Q18" s="4"/>
    </row>
    <row r="19" spans="1:17" x14ac:dyDescent="0.25">
      <c r="A19" s="6">
        <v>12</v>
      </c>
      <c r="B19" s="16" t="s">
        <v>22</v>
      </c>
      <c r="C19" s="17" t="s">
        <v>34</v>
      </c>
      <c r="D19" s="18" t="s">
        <v>63</v>
      </c>
      <c r="E19" s="82">
        <v>12</v>
      </c>
      <c r="F19" s="19" t="s">
        <v>81</v>
      </c>
      <c r="G19" s="7">
        <v>93682207</v>
      </c>
      <c r="H19" s="21">
        <v>1.9</v>
      </c>
      <c r="I19" s="17" t="s">
        <v>82</v>
      </c>
      <c r="J19" s="21">
        <v>2</v>
      </c>
      <c r="K19" s="21">
        <v>2</v>
      </c>
      <c r="L19" s="19"/>
      <c r="M19" s="22"/>
      <c r="N19" s="22"/>
      <c r="O19" s="7"/>
      <c r="P19" s="4"/>
      <c r="Q19" s="4"/>
    </row>
    <row r="20" spans="1:17" x14ac:dyDescent="0.25">
      <c r="A20" s="6">
        <v>13</v>
      </c>
      <c r="B20" s="16" t="s">
        <v>22</v>
      </c>
      <c r="C20" s="17" t="s">
        <v>35</v>
      </c>
      <c r="D20" s="18" t="s">
        <v>64</v>
      </c>
      <c r="E20" s="82">
        <v>13</v>
      </c>
      <c r="F20" s="19" t="s">
        <v>81</v>
      </c>
      <c r="G20" s="7">
        <v>77372855</v>
      </c>
      <c r="H20" s="21">
        <v>2.96</v>
      </c>
      <c r="I20" s="17" t="s">
        <v>328</v>
      </c>
      <c r="J20" s="21"/>
      <c r="K20" s="21">
        <v>2</v>
      </c>
      <c r="L20" s="19"/>
      <c r="M20" s="22">
        <v>1</v>
      </c>
      <c r="N20" s="22"/>
      <c r="O20" s="7"/>
      <c r="P20" s="4"/>
      <c r="Q20" s="4"/>
    </row>
    <row r="21" spans="1:17" x14ac:dyDescent="0.25">
      <c r="A21" s="6">
        <v>14</v>
      </c>
      <c r="B21" s="16" t="s">
        <v>22</v>
      </c>
      <c r="C21" s="17" t="s">
        <v>36</v>
      </c>
      <c r="D21" s="18" t="s">
        <v>65</v>
      </c>
      <c r="E21" s="82">
        <v>14</v>
      </c>
      <c r="F21" s="19" t="s">
        <v>81</v>
      </c>
      <c r="G21" s="7">
        <v>94779184</v>
      </c>
      <c r="H21" s="21">
        <v>2.85</v>
      </c>
      <c r="I21" s="17" t="s">
        <v>328</v>
      </c>
      <c r="J21" s="21">
        <v>2</v>
      </c>
      <c r="K21" s="21">
        <v>3</v>
      </c>
      <c r="L21" s="19"/>
      <c r="M21" s="22"/>
      <c r="N21" s="22"/>
      <c r="O21" s="7"/>
      <c r="P21" s="4"/>
      <c r="Q21" s="4"/>
    </row>
    <row r="22" spans="1:17" x14ac:dyDescent="0.25">
      <c r="A22" s="6">
        <v>15</v>
      </c>
      <c r="B22" s="16" t="s">
        <v>22</v>
      </c>
      <c r="C22" s="17" t="s">
        <v>37</v>
      </c>
      <c r="D22" s="18" t="s">
        <v>66</v>
      </c>
      <c r="E22" s="82">
        <v>15</v>
      </c>
      <c r="F22" s="19" t="s">
        <v>81</v>
      </c>
      <c r="G22" s="7">
        <v>77373012</v>
      </c>
      <c r="H22" s="21">
        <v>1.67</v>
      </c>
      <c r="I22" s="17" t="s">
        <v>328</v>
      </c>
      <c r="J22" s="21">
        <v>1</v>
      </c>
      <c r="K22" s="21">
        <v>2</v>
      </c>
      <c r="L22" s="19"/>
      <c r="M22" s="22"/>
      <c r="N22" s="22"/>
      <c r="O22" s="7"/>
      <c r="P22" s="4"/>
      <c r="Q22" s="4"/>
    </row>
    <row r="23" spans="1:17" x14ac:dyDescent="0.25">
      <c r="A23" s="6">
        <v>16</v>
      </c>
      <c r="B23" s="16" t="s">
        <v>22</v>
      </c>
      <c r="C23" s="17" t="s">
        <v>38</v>
      </c>
      <c r="D23" s="18" t="s">
        <v>67</v>
      </c>
      <c r="E23" s="82">
        <v>16</v>
      </c>
      <c r="F23" s="19" t="s">
        <v>81</v>
      </c>
      <c r="G23" s="7">
        <v>93637447</v>
      </c>
      <c r="H23" s="21">
        <v>1.65</v>
      </c>
      <c r="I23" s="17" t="s">
        <v>328</v>
      </c>
      <c r="J23" s="21">
        <v>2</v>
      </c>
      <c r="K23" s="21">
        <v>2</v>
      </c>
      <c r="L23" s="19"/>
      <c r="M23" s="22"/>
      <c r="N23" s="22">
        <v>1</v>
      </c>
      <c r="O23" s="7"/>
      <c r="P23" s="4"/>
      <c r="Q23" s="4"/>
    </row>
    <row r="24" spans="1:17" x14ac:dyDescent="0.25">
      <c r="A24" s="6">
        <v>17</v>
      </c>
      <c r="B24" s="16" t="s">
        <v>22</v>
      </c>
      <c r="C24" s="17" t="s">
        <v>39</v>
      </c>
      <c r="D24" s="18" t="s">
        <v>68</v>
      </c>
      <c r="E24" s="82">
        <v>17</v>
      </c>
      <c r="F24" s="19" t="s">
        <v>81</v>
      </c>
      <c r="G24" s="7">
        <v>94821135</v>
      </c>
      <c r="H24" s="21">
        <v>2.16</v>
      </c>
      <c r="I24" s="17" t="s">
        <v>328</v>
      </c>
      <c r="J24" s="21"/>
      <c r="K24" s="24" t="s">
        <v>85</v>
      </c>
      <c r="L24" s="19"/>
      <c r="M24" s="22">
        <v>2</v>
      </c>
      <c r="N24" s="22"/>
      <c r="O24" s="7"/>
      <c r="P24" s="4"/>
      <c r="Q24" s="4"/>
    </row>
    <row r="25" spans="1:17" x14ac:dyDescent="0.25">
      <c r="A25" s="6">
        <v>18</v>
      </c>
      <c r="B25" s="16" t="s">
        <v>22</v>
      </c>
      <c r="C25" s="17" t="s">
        <v>40</v>
      </c>
      <c r="D25" s="18" t="s">
        <v>69</v>
      </c>
      <c r="E25" s="82">
        <v>18</v>
      </c>
      <c r="F25" s="19" t="s">
        <v>81</v>
      </c>
      <c r="G25" s="7">
        <v>94833190</v>
      </c>
      <c r="H25" s="21">
        <v>2.06</v>
      </c>
      <c r="I25" s="17" t="s">
        <v>328</v>
      </c>
      <c r="J25" s="21">
        <v>3</v>
      </c>
      <c r="K25" s="21">
        <v>2</v>
      </c>
      <c r="L25" s="19"/>
      <c r="M25" s="22">
        <v>3</v>
      </c>
      <c r="N25" s="22">
        <v>1</v>
      </c>
      <c r="O25" s="7"/>
      <c r="P25" s="4"/>
      <c r="Q25" s="4"/>
    </row>
    <row r="26" spans="1:17" x14ac:dyDescent="0.25">
      <c r="A26" s="6">
        <v>19</v>
      </c>
      <c r="B26" s="16" t="s">
        <v>22</v>
      </c>
      <c r="C26" s="17" t="s">
        <v>41</v>
      </c>
      <c r="D26" s="18" t="s">
        <v>70</v>
      </c>
      <c r="E26" s="82">
        <v>19</v>
      </c>
      <c r="F26" s="19" t="s">
        <v>81</v>
      </c>
      <c r="G26" s="7">
        <v>94023692</v>
      </c>
      <c r="H26" s="24" t="s">
        <v>86</v>
      </c>
      <c r="I26" s="17" t="s">
        <v>82</v>
      </c>
      <c r="J26" s="21">
        <v>2</v>
      </c>
      <c r="K26" s="21">
        <v>2</v>
      </c>
      <c r="L26" s="19"/>
      <c r="M26" s="22"/>
      <c r="N26" s="22"/>
      <c r="O26" s="7"/>
      <c r="P26" s="4"/>
      <c r="Q26" s="4"/>
    </row>
    <row r="27" spans="1:17" x14ac:dyDescent="0.25">
      <c r="A27" s="6">
        <v>20</v>
      </c>
      <c r="B27" s="16" t="s">
        <v>22</v>
      </c>
      <c r="C27" s="17" t="s">
        <v>42</v>
      </c>
      <c r="D27" s="18" t="s">
        <v>71</v>
      </c>
      <c r="E27" s="82">
        <v>20</v>
      </c>
      <c r="F27" s="19" t="s">
        <v>81</v>
      </c>
      <c r="G27" s="7">
        <v>98128250</v>
      </c>
      <c r="H27" s="21">
        <v>2.36</v>
      </c>
      <c r="I27" s="17" t="s">
        <v>328</v>
      </c>
      <c r="J27" s="21">
        <v>1</v>
      </c>
      <c r="K27" s="21">
        <v>1</v>
      </c>
      <c r="L27" s="19"/>
      <c r="M27" s="22">
        <v>1</v>
      </c>
      <c r="N27" s="22"/>
      <c r="O27" s="7"/>
      <c r="P27" s="4"/>
      <c r="Q27" s="4"/>
    </row>
    <row r="28" spans="1:17" x14ac:dyDescent="0.25">
      <c r="A28" s="6">
        <v>21</v>
      </c>
      <c r="B28" s="16" t="s">
        <v>22</v>
      </c>
      <c r="C28" s="17" t="s">
        <v>43</v>
      </c>
      <c r="D28" s="18" t="s">
        <v>72</v>
      </c>
      <c r="E28" s="82">
        <v>21</v>
      </c>
      <c r="F28" s="19" t="s">
        <v>81</v>
      </c>
      <c r="G28" s="7">
        <v>98518468</v>
      </c>
      <c r="H28" s="21">
        <v>2.14</v>
      </c>
      <c r="I28" s="17" t="s">
        <v>328</v>
      </c>
      <c r="J28" s="21">
        <v>1</v>
      </c>
      <c r="K28" s="21">
        <v>3</v>
      </c>
      <c r="L28" s="19"/>
      <c r="M28" s="22">
        <v>2</v>
      </c>
      <c r="N28" s="22"/>
      <c r="O28" s="7"/>
      <c r="P28" s="4"/>
      <c r="Q28" s="4"/>
    </row>
    <row r="29" spans="1:17" x14ac:dyDescent="0.25">
      <c r="A29" s="6">
        <v>22</v>
      </c>
      <c r="B29" s="16" t="s">
        <v>22</v>
      </c>
      <c r="C29" s="17" t="s">
        <v>44</v>
      </c>
      <c r="D29" s="18" t="s">
        <v>73</v>
      </c>
      <c r="E29" s="82">
        <v>22</v>
      </c>
      <c r="F29" s="19" t="s">
        <v>81</v>
      </c>
      <c r="G29" s="7">
        <v>98447500</v>
      </c>
      <c r="H29" s="21">
        <v>2.76</v>
      </c>
      <c r="I29" s="17" t="s">
        <v>328</v>
      </c>
      <c r="J29" s="21"/>
      <c r="K29" s="21">
        <v>3</v>
      </c>
      <c r="L29" s="19"/>
      <c r="M29" s="22"/>
      <c r="N29" s="22"/>
      <c r="O29" s="7"/>
      <c r="P29" s="4"/>
      <c r="Q29" s="4"/>
    </row>
    <row r="30" spans="1:17" x14ac:dyDescent="0.25">
      <c r="A30" s="6">
        <v>23</v>
      </c>
      <c r="B30" s="16" t="s">
        <v>22</v>
      </c>
      <c r="C30" s="17" t="s">
        <v>45</v>
      </c>
      <c r="D30" s="18" t="s">
        <v>74</v>
      </c>
      <c r="E30" s="82">
        <v>23</v>
      </c>
      <c r="F30" s="19" t="s">
        <v>81</v>
      </c>
      <c r="G30" s="7">
        <v>98140318</v>
      </c>
      <c r="H30" s="21">
        <v>1.98</v>
      </c>
      <c r="I30" s="17" t="s">
        <v>328</v>
      </c>
      <c r="J30" s="21">
        <v>1</v>
      </c>
      <c r="K30" s="21">
        <v>2</v>
      </c>
      <c r="L30" s="19"/>
      <c r="M30" s="22"/>
      <c r="N30" s="22">
        <v>1</v>
      </c>
      <c r="O30" s="7"/>
      <c r="P30" s="4"/>
      <c r="Q30" s="4"/>
    </row>
    <row r="31" spans="1:17" x14ac:dyDescent="0.25">
      <c r="A31" s="6">
        <v>24</v>
      </c>
      <c r="B31" s="16" t="s">
        <v>22</v>
      </c>
      <c r="C31" s="17" t="s">
        <v>46</v>
      </c>
      <c r="D31" s="18" t="s">
        <v>75</v>
      </c>
      <c r="E31" s="82">
        <v>24</v>
      </c>
      <c r="F31" s="19" t="s">
        <v>81</v>
      </c>
      <c r="G31" s="7">
        <v>77372810</v>
      </c>
      <c r="H31" s="21">
        <v>2.5499999999999998</v>
      </c>
      <c r="I31" s="17" t="s">
        <v>328</v>
      </c>
      <c r="J31" s="21"/>
      <c r="K31" s="21">
        <v>1</v>
      </c>
      <c r="L31" s="19" t="s">
        <v>83</v>
      </c>
      <c r="M31" s="22">
        <v>2</v>
      </c>
      <c r="N31" s="22"/>
      <c r="O31" s="7"/>
      <c r="P31" s="4"/>
      <c r="Q31" s="4"/>
    </row>
    <row r="32" spans="1:17" x14ac:dyDescent="0.25">
      <c r="A32" s="6">
        <v>25</v>
      </c>
      <c r="B32" s="16" t="s">
        <v>22</v>
      </c>
      <c r="C32" s="17" t="s">
        <v>47</v>
      </c>
      <c r="D32" s="18" t="s">
        <v>76</v>
      </c>
      <c r="E32" s="82">
        <v>25</v>
      </c>
      <c r="F32" s="19" t="s">
        <v>81</v>
      </c>
      <c r="G32" s="7">
        <v>94676654</v>
      </c>
      <c r="H32" s="21">
        <v>1.01</v>
      </c>
      <c r="I32" s="17" t="s">
        <v>328</v>
      </c>
      <c r="J32" s="21"/>
      <c r="K32" s="21">
        <v>1</v>
      </c>
      <c r="L32" s="19" t="s">
        <v>83</v>
      </c>
      <c r="M32" s="22"/>
      <c r="N32" s="22">
        <v>1</v>
      </c>
      <c r="O32" s="7"/>
      <c r="P32" s="4"/>
      <c r="Q32" s="4"/>
    </row>
    <row r="33" spans="1:17" x14ac:dyDescent="0.25">
      <c r="A33" s="6">
        <v>26</v>
      </c>
      <c r="B33" s="16" t="s">
        <v>22</v>
      </c>
      <c r="C33" s="17" t="s">
        <v>48</v>
      </c>
      <c r="D33" s="18" t="s">
        <v>77</v>
      </c>
      <c r="E33" s="82">
        <v>26</v>
      </c>
      <c r="F33" s="19" t="s">
        <v>81</v>
      </c>
      <c r="G33" s="7">
        <v>94765882</v>
      </c>
      <c r="H33" s="21">
        <v>2.0299999999999998</v>
      </c>
      <c r="I33" s="17" t="s">
        <v>328</v>
      </c>
      <c r="J33" s="21">
        <v>2</v>
      </c>
      <c r="K33" s="21">
        <v>2</v>
      </c>
      <c r="L33" s="19"/>
      <c r="M33" s="22">
        <v>1</v>
      </c>
      <c r="N33" s="22"/>
      <c r="O33" s="7"/>
      <c r="P33" s="4"/>
      <c r="Q33" s="4"/>
    </row>
    <row r="34" spans="1:17" x14ac:dyDescent="0.25">
      <c r="A34" s="6">
        <v>27</v>
      </c>
      <c r="B34" s="16" t="s">
        <v>22</v>
      </c>
      <c r="C34" s="17" t="s">
        <v>49</v>
      </c>
      <c r="D34" s="18" t="s">
        <v>78</v>
      </c>
      <c r="E34" s="82">
        <v>27</v>
      </c>
      <c r="F34" s="19" t="s">
        <v>81</v>
      </c>
      <c r="G34" s="7">
        <v>94240269</v>
      </c>
      <c r="H34" s="25" t="s">
        <v>87</v>
      </c>
      <c r="I34" s="17" t="s">
        <v>328</v>
      </c>
      <c r="J34" s="21">
        <v>2</v>
      </c>
      <c r="K34" s="21">
        <v>3</v>
      </c>
      <c r="L34" s="19"/>
      <c r="M34" s="22"/>
      <c r="N34" s="22">
        <v>1</v>
      </c>
      <c r="O34" s="7"/>
      <c r="P34" s="4"/>
      <c r="Q34" s="4"/>
    </row>
    <row r="35" spans="1:17" x14ac:dyDescent="0.25">
      <c r="A35" s="6">
        <v>28</v>
      </c>
      <c r="B35" s="16" t="s">
        <v>22</v>
      </c>
      <c r="C35" s="17" t="s">
        <v>50</v>
      </c>
      <c r="D35" s="18" t="s">
        <v>79</v>
      </c>
      <c r="E35" s="82">
        <v>28</v>
      </c>
      <c r="F35" s="19" t="s">
        <v>81</v>
      </c>
      <c r="G35" s="7">
        <v>98349684</v>
      </c>
      <c r="H35" s="24" t="s">
        <v>88</v>
      </c>
      <c r="I35" s="17" t="s">
        <v>328</v>
      </c>
      <c r="J35" s="21"/>
      <c r="K35" s="21">
        <v>2</v>
      </c>
      <c r="L35" s="19"/>
      <c r="M35" s="22">
        <v>3</v>
      </c>
      <c r="N35" s="22"/>
      <c r="O35" s="7"/>
      <c r="P35" s="4"/>
      <c r="Q35" s="4"/>
    </row>
    <row r="36" spans="1:17" x14ac:dyDescent="0.25">
      <c r="A36" s="6">
        <v>29</v>
      </c>
      <c r="B36" s="16" t="s">
        <v>22</v>
      </c>
      <c r="C36" s="17" t="s">
        <v>51</v>
      </c>
      <c r="D36" s="18" t="s">
        <v>80</v>
      </c>
      <c r="E36" s="82">
        <v>29</v>
      </c>
      <c r="F36" s="19" t="s">
        <v>81</v>
      </c>
      <c r="G36" s="7">
        <v>98923227</v>
      </c>
      <c r="H36" s="24" t="s">
        <v>89</v>
      </c>
      <c r="I36" s="17" t="s">
        <v>328</v>
      </c>
      <c r="J36" s="21">
        <v>2</v>
      </c>
      <c r="K36" s="21">
        <v>2</v>
      </c>
      <c r="L36" s="19"/>
      <c r="M36" s="22">
        <v>1</v>
      </c>
      <c r="N36" s="22">
        <v>1</v>
      </c>
      <c r="O36" s="7"/>
      <c r="P36" s="4"/>
      <c r="Q36" s="4"/>
    </row>
    <row r="42" spans="1:17" x14ac:dyDescent="0.25">
      <c r="B42" s="91" t="s">
        <v>19</v>
      </c>
      <c r="C42" s="91"/>
      <c r="D42" s="91"/>
      <c r="E42" s="91"/>
      <c r="F42" s="91"/>
      <c r="G42" s="91"/>
      <c r="H42" s="91"/>
      <c r="I42" s="91"/>
    </row>
  </sheetData>
  <mergeCells count="14">
    <mergeCell ref="B42:I42"/>
    <mergeCell ref="I5:I6"/>
    <mergeCell ref="J5:K5"/>
    <mergeCell ref="L5:Q5"/>
    <mergeCell ref="A1:Q1"/>
    <mergeCell ref="A2:Q2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4"/>
  <sheetViews>
    <sheetView tabSelected="1" workbookViewId="0">
      <selection activeCell="I15" sqref="I15"/>
    </sheetView>
  </sheetViews>
  <sheetFormatPr defaultRowHeight="12.75" x14ac:dyDescent="0.2"/>
  <cols>
    <col min="2" max="2" width="10" customWidth="1"/>
    <col min="3" max="3" width="19.85546875" customWidth="1"/>
    <col min="4" max="4" width="17.85546875" customWidth="1"/>
    <col min="6" max="6" width="32" customWidth="1"/>
    <col min="7" max="7" width="11.5703125" customWidth="1"/>
    <col min="12" max="12" width="18.28515625" customWidth="1"/>
    <col min="13" max="13" width="12" customWidth="1"/>
    <col min="14" max="14" width="13.42578125" customWidth="1"/>
    <col min="15" max="15" width="17.5703125" customWidth="1"/>
    <col min="16" max="16" width="14.28515625" customWidth="1"/>
    <col min="17" max="17" width="14" customWidth="1"/>
  </cols>
  <sheetData>
    <row r="2" spans="1:17" ht="16.5" x14ac:dyDescent="0.2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1:17" ht="16.5" x14ac:dyDescent="0.2">
      <c r="A3" s="90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spans="1:17" ht="13.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96" t="s">
        <v>0</v>
      </c>
      <c r="B6" s="96" t="s">
        <v>2</v>
      </c>
      <c r="C6" s="96" t="s">
        <v>15</v>
      </c>
      <c r="D6" s="96" t="s">
        <v>6</v>
      </c>
      <c r="E6" s="96" t="s">
        <v>3</v>
      </c>
      <c r="F6" s="96" t="s">
        <v>7</v>
      </c>
      <c r="G6" s="96" t="s">
        <v>17</v>
      </c>
      <c r="H6" s="96" t="s">
        <v>8</v>
      </c>
      <c r="I6" s="96" t="s">
        <v>16</v>
      </c>
      <c r="J6" s="92" t="s">
        <v>9</v>
      </c>
      <c r="K6" s="92"/>
      <c r="L6" s="93" t="s">
        <v>13</v>
      </c>
      <c r="M6" s="94"/>
      <c r="N6" s="94"/>
      <c r="O6" s="94"/>
      <c r="P6" s="94"/>
      <c r="Q6" s="95"/>
    </row>
    <row r="7" spans="1:17" ht="127.5" x14ac:dyDescent="0.2">
      <c r="A7" s="97"/>
      <c r="B7" s="97"/>
      <c r="C7" s="97"/>
      <c r="D7" s="97"/>
      <c r="E7" s="97"/>
      <c r="F7" s="97"/>
      <c r="G7" s="97"/>
      <c r="H7" s="97"/>
      <c r="I7" s="97"/>
      <c r="J7" s="87" t="s">
        <v>10</v>
      </c>
      <c r="K7" s="87" t="s">
        <v>11</v>
      </c>
      <c r="L7" s="88" t="s">
        <v>12</v>
      </c>
      <c r="M7" s="88" t="s">
        <v>4</v>
      </c>
      <c r="N7" s="88" t="s">
        <v>5</v>
      </c>
      <c r="O7" s="88" t="s">
        <v>14</v>
      </c>
      <c r="P7" s="88" t="s">
        <v>18</v>
      </c>
      <c r="Q7" s="88" t="s">
        <v>20</v>
      </c>
    </row>
    <row r="8" spans="1:17" x14ac:dyDescent="0.2">
      <c r="A8" s="89">
        <v>1</v>
      </c>
      <c r="B8" s="89">
        <v>2</v>
      </c>
      <c r="C8" s="89">
        <v>3</v>
      </c>
      <c r="D8" s="89">
        <v>4</v>
      </c>
      <c r="E8" s="89">
        <v>5</v>
      </c>
      <c r="F8" s="89">
        <v>6</v>
      </c>
      <c r="G8" s="89">
        <v>7</v>
      </c>
      <c r="H8" s="89">
        <v>8</v>
      </c>
      <c r="I8" s="89">
        <v>9</v>
      </c>
      <c r="J8" s="87">
        <v>10</v>
      </c>
      <c r="K8" s="87">
        <v>11</v>
      </c>
      <c r="L8" s="87">
        <v>12</v>
      </c>
      <c r="M8" s="87">
        <v>13</v>
      </c>
      <c r="N8" s="87">
        <v>14</v>
      </c>
      <c r="O8" s="87">
        <v>15</v>
      </c>
      <c r="P8" s="87">
        <v>16</v>
      </c>
      <c r="Q8" s="87">
        <v>17</v>
      </c>
    </row>
    <row r="9" spans="1:17" ht="28.5" customHeight="1" x14ac:dyDescent="0.25">
      <c r="A9" s="16">
        <v>1</v>
      </c>
      <c r="B9" s="82" t="s">
        <v>348</v>
      </c>
      <c r="C9" s="82" t="s">
        <v>349</v>
      </c>
      <c r="D9" s="16" t="s">
        <v>350</v>
      </c>
      <c r="E9" s="16">
        <v>57</v>
      </c>
      <c r="F9" s="71" t="s">
        <v>351</v>
      </c>
      <c r="G9" s="67" t="s">
        <v>353</v>
      </c>
      <c r="H9" s="16">
        <v>2.9</v>
      </c>
      <c r="I9" s="16" t="s">
        <v>84</v>
      </c>
      <c r="J9" s="16" t="s">
        <v>352</v>
      </c>
      <c r="K9" s="16">
        <v>3</v>
      </c>
      <c r="L9" s="78" t="s">
        <v>352</v>
      </c>
      <c r="M9" s="16">
        <v>2</v>
      </c>
      <c r="N9" s="16">
        <v>2</v>
      </c>
      <c r="O9" s="16" t="s">
        <v>352</v>
      </c>
      <c r="P9" s="16" t="s">
        <v>352</v>
      </c>
      <c r="Q9" s="16" t="s">
        <v>352</v>
      </c>
    </row>
    <row r="14" spans="1:17" ht="13.5" x14ac:dyDescent="0.25">
      <c r="C14" s="91" t="s">
        <v>19</v>
      </c>
      <c r="D14" s="91"/>
      <c r="E14" s="91"/>
      <c r="F14" s="91"/>
      <c r="G14" s="91"/>
      <c r="H14" s="91"/>
      <c r="I14" s="91"/>
      <c r="J14" s="91"/>
    </row>
  </sheetData>
  <mergeCells count="14">
    <mergeCell ref="I6:I7"/>
    <mergeCell ref="J6:K6"/>
    <mergeCell ref="L6:Q6"/>
    <mergeCell ref="C14:J14"/>
    <mergeCell ref="A2:Q2"/>
    <mergeCell ref="A3:Q3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Sheet1</vt:lpstr>
      <vt:lpstr>Աշոցք</vt:lpstr>
      <vt:lpstr>Զույգաղբյուր</vt:lpstr>
      <vt:lpstr>Փ. Սեպասար</vt:lpstr>
      <vt:lpstr>Կրասար</vt:lpstr>
      <vt:lpstr>Ղազանչի</vt:lpstr>
      <vt:lpstr>Մ. Սեպասար</vt:lpstr>
      <vt:lpstr>Սիզավետ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Hovhannisyan</dc:creator>
  <cp:keywords>https:/mul2-shirak.gov.am/tasks/319586/oneclick/ardir.xlsx?token=6a427e6fc27f8f4ca87218b9111a9cdc</cp:keywords>
  <cp:lastModifiedBy>User</cp:lastModifiedBy>
  <cp:lastPrinted>2018-06-07T11:26:36Z</cp:lastPrinted>
  <dcterms:created xsi:type="dcterms:W3CDTF">1996-10-14T23:33:28Z</dcterms:created>
  <dcterms:modified xsi:type="dcterms:W3CDTF">2021-05-31T12:17:29Z</dcterms:modified>
</cp:coreProperties>
</file>